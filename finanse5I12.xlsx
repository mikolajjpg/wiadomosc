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16\Desktop\"/>
    </mc:Choice>
  </mc:AlternateContent>
  <xr:revisionPtr revIDLastSave="0" documentId="8_{044551D2-137A-41D8-A167-04DDC25CA038}" xr6:coauthVersionLast="47" xr6:coauthVersionMax="47" xr10:uidLastSave="{00000000-0000-0000-0000-000000000000}"/>
  <bookViews>
    <workbookView xWindow="-120" yWindow="-120" windowWidth="29040" windowHeight="15840" activeTab="13" xr2:uid="{19EE711A-3283-4873-9107-9C9869A047C7}"/>
  </bookViews>
  <sheets>
    <sheet name="12" sheetId="17" r:id="rId1"/>
    <sheet name="11" sheetId="16" r:id="rId2"/>
    <sheet name="10" sheetId="15" r:id="rId3"/>
    <sheet name="9" sheetId="14" r:id="rId4"/>
    <sheet name="8" sheetId="13" r:id="rId5"/>
    <sheet name="7" sheetId="12" r:id="rId6"/>
    <sheet name="6" sheetId="11" r:id="rId7"/>
    <sheet name="5" sheetId="10" r:id="rId8"/>
    <sheet name="4" sheetId="9" r:id="rId9"/>
    <sheet name="3" sheetId="7" r:id="rId10"/>
    <sheet name="2" sheetId="6" r:id="rId11"/>
    <sheet name="Operations" sheetId="2" r:id="rId12"/>
    <sheet name="Dicionary" sheetId="3" r:id="rId13"/>
    <sheet name="1" sheetId="5" r:id="rId14"/>
  </sheets>
  <definedNames>
    <definedName name="_xlnm._FilterDatabase" localSheetId="12" hidden="1">Dicionary!$A$1:$B$17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7" l="1" a="1"/>
  <c r="C11" i="17" s="1"/>
  <c r="B11" i="17" a="1"/>
  <c r="B11" i="17" s="1"/>
  <c r="C11" i="16" a="1"/>
  <c r="C11" i="16" s="1"/>
  <c r="B11" i="16" a="1"/>
  <c r="B11" i="16" s="1"/>
  <c r="C11" i="15" a="1"/>
  <c r="C11" i="15" s="1"/>
  <c r="B11" i="15" a="1"/>
  <c r="B11" i="15" s="1"/>
  <c r="C11" i="14" a="1"/>
  <c r="C11" i="14" s="1"/>
  <c r="B11" i="14" a="1"/>
  <c r="B11" i="14" s="1"/>
  <c r="C11" i="13" a="1"/>
  <c r="C11" i="13" s="1"/>
  <c r="B11" i="13" a="1"/>
  <c r="B11" i="13" s="1"/>
  <c r="C11" i="12" a="1"/>
  <c r="C11" i="12" s="1"/>
  <c r="B11" i="12" a="1"/>
  <c r="B11" i="12" s="1"/>
  <c r="C11" i="11" a="1"/>
  <c r="C11" i="11" s="1"/>
  <c r="B11" i="11" a="1"/>
  <c r="B11" i="11" s="1"/>
  <c r="C11" i="10" a="1"/>
  <c r="C11" i="10" s="1"/>
  <c r="B11" i="10" a="1"/>
  <c r="B11" i="10" s="1"/>
  <c r="C11" i="9" a="1"/>
  <c r="C11" i="9" s="1"/>
  <c r="B11" i="9" a="1"/>
  <c r="B11" i="9" s="1"/>
  <c r="C11" i="7" a="1"/>
  <c r="C11" i="7" s="1"/>
  <c r="B11" i="7" a="1"/>
  <c r="B11" i="7" s="1"/>
  <c r="C11" i="6" a="1"/>
  <c r="C11" i="6" s="1"/>
  <c r="B11" i="6" a="1"/>
  <c r="B11" i="6" s="1"/>
  <c r="C11" i="5" a="1"/>
  <c r="C11" i="5" s="1"/>
  <c r="B11" i="5" a="1"/>
  <c r="B11" i="5" s="1"/>
  <c r="H4" i="5" s="1"/>
  <c r="C9" i="5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K9" i="17" l="1"/>
  <c r="B14" i="17"/>
  <c r="H7" i="17"/>
  <c r="H3" i="17"/>
  <c r="H6" i="17"/>
  <c r="H2" i="17"/>
  <c r="H5" i="17"/>
  <c r="H4" i="17"/>
  <c r="B15" i="17"/>
  <c r="D2" i="17"/>
  <c r="D3" i="17"/>
  <c r="E3" i="17" s="1"/>
  <c r="D4" i="17"/>
  <c r="E4" i="17" s="1"/>
  <c r="D5" i="17"/>
  <c r="E5" i="17" s="1"/>
  <c r="D6" i="17"/>
  <c r="E6" i="17" s="1"/>
  <c r="D7" i="17"/>
  <c r="E7" i="17" s="1"/>
  <c r="D8" i="17"/>
  <c r="E8" i="17" s="1"/>
  <c r="K10" i="17"/>
  <c r="B16" i="17"/>
  <c r="K2" i="17"/>
  <c r="K3" i="17"/>
  <c r="K4" i="17"/>
  <c r="K5" i="17"/>
  <c r="K6" i="17"/>
  <c r="K7" i="17"/>
  <c r="K8" i="17"/>
  <c r="B16" i="16"/>
  <c r="H6" i="16"/>
  <c r="H2" i="16"/>
  <c r="H5" i="16"/>
  <c r="H4" i="16"/>
  <c r="H7" i="16"/>
  <c r="H3" i="16"/>
  <c r="B14" i="16"/>
  <c r="K2" i="16"/>
  <c r="K3" i="16"/>
  <c r="K4" i="16"/>
  <c r="K5" i="16"/>
  <c r="K6" i="16"/>
  <c r="K7" i="16"/>
  <c r="K8" i="16"/>
  <c r="K9" i="16"/>
  <c r="B15" i="16"/>
  <c r="D2" i="16"/>
  <c r="D3" i="16"/>
  <c r="E3" i="16" s="1"/>
  <c r="D4" i="16"/>
  <c r="E4" i="16" s="1"/>
  <c r="D5" i="16"/>
  <c r="E5" i="16" s="1"/>
  <c r="D6" i="16"/>
  <c r="E6" i="16" s="1"/>
  <c r="D7" i="16"/>
  <c r="E7" i="16" s="1"/>
  <c r="D8" i="16"/>
  <c r="E8" i="16" s="1"/>
  <c r="K10" i="16"/>
  <c r="K9" i="15"/>
  <c r="H6" i="15"/>
  <c r="H2" i="15"/>
  <c r="H7" i="15"/>
  <c r="H5" i="15"/>
  <c r="H3" i="15"/>
  <c r="H4" i="15"/>
  <c r="K3" i="15"/>
  <c r="K6" i="15"/>
  <c r="B15" i="15"/>
  <c r="D2" i="15"/>
  <c r="D3" i="15"/>
  <c r="E3" i="15" s="1"/>
  <c r="D4" i="15"/>
  <c r="E4" i="15" s="1"/>
  <c r="D5" i="15"/>
  <c r="E5" i="15" s="1"/>
  <c r="D6" i="15"/>
  <c r="E6" i="15" s="1"/>
  <c r="D7" i="15"/>
  <c r="E7" i="15" s="1"/>
  <c r="D8" i="15"/>
  <c r="E8" i="15" s="1"/>
  <c r="K10" i="15"/>
  <c r="B16" i="15"/>
  <c r="B14" i="15"/>
  <c r="K2" i="15"/>
  <c r="K4" i="15"/>
  <c r="K5" i="15"/>
  <c r="K7" i="15"/>
  <c r="K8" i="15"/>
  <c r="B16" i="14"/>
  <c r="H6" i="14"/>
  <c r="H2" i="14"/>
  <c r="H5" i="14"/>
  <c r="H4" i="14"/>
  <c r="H7" i="14"/>
  <c r="H3" i="14"/>
  <c r="B14" i="14"/>
  <c r="K2" i="14"/>
  <c r="K3" i="14"/>
  <c r="K4" i="14"/>
  <c r="K5" i="14"/>
  <c r="K6" i="14"/>
  <c r="K7" i="14"/>
  <c r="K8" i="14"/>
  <c r="K9" i="14"/>
  <c r="B15" i="14"/>
  <c r="D2" i="14"/>
  <c r="D3" i="14"/>
  <c r="E3" i="14" s="1"/>
  <c r="D4" i="14"/>
  <c r="E4" i="14" s="1"/>
  <c r="D5" i="14"/>
  <c r="E5" i="14" s="1"/>
  <c r="D6" i="14"/>
  <c r="E6" i="14" s="1"/>
  <c r="D7" i="14"/>
  <c r="E7" i="14" s="1"/>
  <c r="D8" i="14"/>
  <c r="E8" i="14" s="1"/>
  <c r="K10" i="14"/>
  <c r="B16" i="13"/>
  <c r="H6" i="13"/>
  <c r="H2" i="13"/>
  <c r="H4" i="13"/>
  <c r="H7" i="13"/>
  <c r="H3" i="13"/>
  <c r="H5" i="13"/>
  <c r="B14" i="13"/>
  <c r="K2" i="13"/>
  <c r="K3" i="13"/>
  <c r="K4" i="13"/>
  <c r="K5" i="13"/>
  <c r="K6" i="13"/>
  <c r="K7" i="13"/>
  <c r="K8" i="13"/>
  <c r="K9" i="13"/>
  <c r="B15" i="13"/>
  <c r="D2" i="13"/>
  <c r="D3" i="13"/>
  <c r="E3" i="13" s="1"/>
  <c r="D4" i="13"/>
  <c r="E4" i="13" s="1"/>
  <c r="D5" i="13"/>
  <c r="E5" i="13" s="1"/>
  <c r="D6" i="13"/>
  <c r="E6" i="13" s="1"/>
  <c r="D7" i="13"/>
  <c r="E7" i="13" s="1"/>
  <c r="D8" i="13"/>
  <c r="E8" i="13" s="1"/>
  <c r="K10" i="13"/>
  <c r="B14" i="12"/>
  <c r="H6" i="12"/>
  <c r="H2" i="12"/>
  <c r="H5" i="12"/>
  <c r="H4" i="12"/>
  <c r="H7" i="12"/>
  <c r="H3" i="12"/>
  <c r="K2" i="12"/>
  <c r="K3" i="12"/>
  <c r="K4" i="12"/>
  <c r="K5" i="12"/>
  <c r="K6" i="12"/>
  <c r="K7" i="12"/>
  <c r="K8" i="12"/>
  <c r="K9" i="12"/>
  <c r="B15" i="12"/>
  <c r="D2" i="12"/>
  <c r="D3" i="12"/>
  <c r="E3" i="12" s="1"/>
  <c r="D4" i="12"/>
  <c r="E4" i="12" s="1"/>
  <c r="D5" i="12"/>
  <c r="E5" i="12" s="1"/>
  <c r="D6" i="12"/>
  <c r="E6" i="12" s="1"/>
  <c r="D7" i="12"/>
  <c r="E7" i="12" s="1"/>
  <c r="D8" i="12"/>
  <c r="E8" i="12" s="1"/>
  <c r="K10" i="12"/>
  <c r="B16" i="12"/>
  <c r="B16" i="11"/>
  <c r="H5" i="11"/>
  <c r="H2" i="11"/>
  <c r="H6" i="11"/>
  <c r="H3" i="11"/>
  <c r="H7" i="11"/>
  <c r="B14" i="11"/>
  <c r="H4" i="11"/>
  <c r="B15" i="11"/>
  <c r="K2" i="11"/>
  <c r="K3" i="11"/>
  <c r="K4" i="11"/>
  <c r="K5" i="11"/>
  <c r="K6" i="11"/>
  <c r="K7" i="11"/>
  <c r="K8" i="11"/>
  <c r="K9" i="11"/>
  <c r="D2" i="11"/>
  <c r="D3" i="11"/>
  <c r="E3" i="11" s="1"/>
  <c r="D4" i="11"/>
  <c r="E4" i="11" s="1"/>
  <c r="D5" i="11"/>
  <c r="E5" i="11" s="1"/>
  <c r="D6" i="11"/>
  <c r="E6" i="11" s="1"/>
  <c r="D7" i="11"/>
  <c r="E7" i="11" s="1"/>
  <c r="D8" i="11"/>
  <c r="E8" i="11" s="1"/>
  <c r="K10" i="11"/>
  <c r="B16" i="10"/>
  <c r="H6" i="10"/>
  <c r="H2" i="10"/>
  <c r="H5" i="10"/>
  <c r="H4" i="10"/>
  <c r="H7" i="10"/>
  <c r="H3" i="10"/>
  <c r="B14" i="10"/>
  <c r="K2" i="10"/>
  <c r="K3" i="10"/>
  <c r="K4" i="10"/>
  <c r="K5" i="10"/>
  <c r="K6" i="10"/>
  <c r="K7" i="10"/>
  <c r="K8" i="10"/>
  <c r="K9" i="10"/>
  <c r="B15" i="10"/>
  <c r="D2" i="10"/>
  <c r="D3" i="10"/>
  <c r="E3" i="10" s="1"/>
  <c r="D4" i="10"/>
  <c r="E4" i="10" s="1"/>
  <c r="D5" i="10"/>
  <c r="E5" i="10" s="1"/>
  <c r="D6" i="10"/>
  <c r="E6" i="10" s="1"/>
  <c r="D7" i="10"/>
  <c r="E7" i="10" s="1"/>
  <c r="D8" i="10"/>
  <c r="E8" i="10" s="1"/>
  <c r="K10" i="10"/>
  <c r="B16" i="9"/>
  <c r="K10" i="9"/>
  <c r="H6" i="9"/>
  <c r="H4" i="9"/>
  <c r="H2" i="9"/>
  <c r="H7" i="9"/>
  <c r="D7" i="9"/>
  <c r="E7" i="9" s="1"/>
  <c r="D5" i="9"/>
  <c r="E5" i="9" s="1"/>
  <c r="D3" i="9"/>
  <c r="E3" i="9" s="1"/>
  <c r="D8" i="9"/>
  <c r="E8" i="9" s="1"/>
  <c r="D6" i="9"/>
  <c r="E6" i="9" s="1"/>
  <c r="D4" i="9"/>
  <c r="E4" i="9" s="1"/>
  <c r="D2" i="9"/>
  <c r="H5" i="9"/>
  <c r="H3" i="9"/>
  <c r="B14" i="9"/>
  <c r="K2" i="9"/>
  <c r="K3" i="9"/>
  <c r="K4" i="9"/>
  <c r="K5" i="9"/>
  <c r="K6" i="9"/>
  <c r="K7" i="9"/>
  <c r="K8" i="9"/>
  <c r="K9" i="9"/>
  <c r="B15" i="9"/>
  <c r="B15" i="7"/>
  <c r="H6" i="7"/>
  <c r="H2" i="7"/>
  <c r="H4" i="7"/>
  <c r="H7" i="7"/>
  <c r="H3" i="7"/>
  <c r="H5" i="7"/>
  <c r="D2" i="7"/>
  <c r="D3" i="7"/>
  <c r="E3" i="7" s="1"/>
  <c r="D4" i="7"/>
  <c r="E4" i="7" s="1"/>
  <c r="D5" i="7"/>
  <c r="E5" i="7" s="1"/>
  <c r="D6" i="7"/>
  <c r="E6" i="7" s="1"/>
  <c r="D7" i="7"/>
  <c r="E7" i="7" s="1"/>
  <c r="D8" i="7"/>
  <c r="E8" i="7" s="1"/>
  <c r="K10" i="7"/>
  <c r="B16" i="7"/>
  <c r="B14" i="7"/>
  <c r="K2" i="7"/>
  <c r="K3" i="7"/>
  <c r="K4" i="7"/>
  <c r="K5" i="7"/>
  <c r="K6" i="7"/>
  <c r="K7" i="7"/>
  <c r="K8" i="7"/>
  <c r="K9" i="7"/>
  <c r="K10" i="6"/>
  <c r="H7" i="6"/>
  <c r="H3" i="6"/>
  <c r="H4" i="6"/>
  <c r="H6" i="6"/>
  <c r="H2" i="6"/>
  <c r="H5" i="6"/>
  <c r="K3" i="6"/>
  <c r="K4" i="6"/>
  <c r="K6" i="6"/>
  <c r="K7" i="6"/>
  <c r="K8" i="6"/>
  <c r="K9" i="6"/>
  <c r="D4" i="6"/>
  <c r="E4" i="6" s="1"/>
  <c r="B16" i="6"/>
  <c r="B14" i="6"/>
  <c r="K2" i="6"/>
  <c r="K5" i="6"/>
  <c r="B15" i="6"/>
  <c r="D2" i="6"/>
  <c r="D3" i="6"/>
  <c r="E3" i="6" s="1"/>
  <c r="D5" i="6"/>
  <c r="E5" i="6" s="1"/>
  <c r="D6" i="6"/>
  <c r="E6" i="6" s="1"/>
  <c r="D7" i="6"/>
  <c r="E7" i="6" s="1"/>
  <c r="D8" i="6"/>
  <c r="E8" i="6" s="1"/>
  <c r="K10" i="5"/>
  <c r="K2" i="5"/>
  <c r="K9" i="5"/>
  <c r="K6" i="5"/>
  <c r="K5" i="5"/>
  <c r="K8" i="5"/>
  <c r="K4" i="5"/>
  <c r="K7" i="5"/>
  <c r="K3" i="5"/>
  <c r="H2" i="5"/>
  <c r="B14" i="5"/>
  <c r="B16" i="5"/>
  <c r="B15" i="5"/>
  <c r="H7" i="5"/>
  <c r="H6" i="5"/>
  <c r="H3" i="5"/>
  <c r="H5" i="5"/>
  <c r="D3" i="5"/>
  <c r="E3" i="5" s="1"/>
  <c r="D8" i="5"/>
  <c r="E8" i="5" s="1"/>
  <c r="D6" i="5"/>
  <c r="E6" i="5" s="1"/>
  <c r="D5" i="5"/>
  <c r="E5" i="5" s="1"/>
  <c r="D2" i="5"/>
  <c r="E2" i="5" s="1"/>
  <c r="D4" i="5"/>
  <c r="E4" i="5" s="1"/>
  <c r="D7" i="5"/>
  <c r="E7" i="5" s="1"/>
  <c r="C2" i="6" a="1"/>
  <c r="B17" i="17" l="1"/>
  <c r="H8" i="17"/>
  <c r="D9" i="17"/>
  <c r="K11" i="17"/>
  <c r="H8" i="16"/>
  <c r="D9" i="16"/>
  <c r="K11" i="16"/>
  <c r="B17" i="16"/>
  <c r="H8" i="15"/>
  <c r="K11" i="15"/>
  <c r="B17" i="15"/>
  <c r="D9" i="15"/>
  <c r="H8" i="14"/>
  <c r="B17" i="14"/>
  <c r="D9" i="14"/>
  <c r="K11" i="14"/>
  <c r="H8" i="13"/>
  <c r="D9" i="13"/>
  <c r="K11" i="13"/>
  <c r="B17" i="13"/>
  <c r="H8" i="12"/>
  <c r="B17" i="12"/>
  <c r="D9" i="12"/>
  <c r="K11" i="12"/>
  <c r="B17" i="11"/>
  <c r="H8" i="11"/>
  <c r="D9" i="11"/>
  <c r="K11" i="11"/>
  <c r="H8" i="10"/>
  <c r="D9" i="10"/>
  <c r="K11" i="10"/>
  <c r="B17" i="10"/>
  <c r="D9" i="9"/>
  <c r="H8" i="9"/>
  <c r="K11" i="9"/>
  <c r="B17" i="9"/>
  <c r="K11" i="7"/>
  <c r="H8" i="7"/>
  <c r="B17" i="7"/>
  <c r="D9" i="7"/>
  <c r="C2" i="6"/>
  <c r="E2" i="6" s="1"/>
  <c r="H8" i="6"/>
  <c r="K11" i="6"/>
  <c r="D9" i="6"/>
  <c r="B17" i="6"/>
  <c r="K11" i="5"/>
  <c r="H8" i="5"/>
  <c r="B17" i="5"/>
  <c r="E9" i="5"/>
  <c r="D9" i="5"/>
  <c r="C2" i="7" a="1"/>
  <c r="C2" i="7" l="1"/>
  <c r="E9" i="6"/>
  <c r="C9" i="6"/>
  <c r="E2" i="7" l="1"/>
  <c r="C9" i="7"/>
  <c r="C2" i="9" a="1"/>
  <c r="C2" i="9" l="1"/>
  <c r="E9" i="7"/>
  <c r="E2" i="9" l="1"/>
  <c r="E9" i="9" s="1"/>
  <c r="C9" i="9"/>
  <c r="C9" i="16"/>
  <c r="C2" i="16"/>
  <c r="C2" i="11"/>
  <c r="E9" i="11"/>
  <c r="C9" i="17"/>
  <c r="C2" i="17"/>
  <c r="C9" i="11"/>
  <c r="C9" i="10"/>
  <c r="E9" i="12"/>
  <c r="E9" i="15"/>
  <c r="C9" i="12"/>
  <c r="C2" i="15"/>
  <c r="C2" i="12"/>
  <c r="C2" i="11" a="1"/>
  <c r="E2" i="11"/>
  <c r="C2" i="16" a="1"/>
  <c r="E2" i="16"/>
  <c r="E9" i="16"/>
  <c r="C2" i="10"/>
  <c r="E9" i="17"/>
  <c r="C2" i="17" a="1"/>
  <c r="E2" i="17"/>
  <c r="C2" i="10" a="1"/>
  <c r="E2" i="10"/>
  <c r="E9" i="10"/>
  <c r="E2" i="15"/>
  <c r="C2" i="12" a="1"/>
  <c r="E2" i="12"/>
  <c r="C2" i="15" a="1"/>
  <c r="C9" i="15"/>
  <c r="E9" i="13"/>
  <c r="C2" i="13"/>
  <c r="C2" i="14"/>
  <c r="C9" i="13"/>
  <c r="C9" i="14"/>
  <c r="C2" i="13" a="1"/>
  <c r="E2" i="13"/>
  <c r="C2" i="14" a="1"/>
  <c r="E2" i="14"/>
  <c r="E9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<sst xmlns="http://schemas.openxmlformats.org/spreadsheetml/2006/main" count="1261" uniqueCount="39">
  <si>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</si>
  <si>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</si>
  <si>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</si>
  <si>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</si>
  <si>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</si>
  <si>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</si>
  <si>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</si>
  <si>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</si>
  <si>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</si>
  <si>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</si>
  <si>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</si>
  <si>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</si>
  <si>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</si>
  <si>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</si>
  <si>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</si>
  <si>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</si>
  <si>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</si>
  <si>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</si>
  <si>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</si>
  <si>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</si>
  <si>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</si>
  <si>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</si>
  <si>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</si>
  <si>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</si>
  <si>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</si>
  <si>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</si>
  <si>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</si>
  <si>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</si>
  <si>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</si>
  <si>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</si>
  <si>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</si>
  <si>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</si>
  <si>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</si>
  <si>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</si>
  <si>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Transfert</t>
  </si>
  <si>
    <t>Operations</t>
  </si>
  <si>
    <t>Closing balance</t>
  </si>
  <si>
    <t>Opening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</si>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</sst>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5" formatCode="_-* #,##0.00\ [$zł-415]_-;\-* #,##0.00\ [$zł-415]_-;_-* &quot;-&quot;??\ [$zł-415]_-;_-@_-"/>
  </numFmts>
  <fonts count="6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b/>
      <sz val="11"/>
      <color theme="3"/>
      <name val="Calibri"/>
      <family val="2"/>
      <scheme val="minor"/>
    </font>
    <font>
      <sz val="11"/>
      <color theme="4" tint="-0.249977111117893"/>
      <name val="Calibri"/>
      <family val="2"/>
      <charset val="238"/>
      <scheme val="minor"/>
    </font>
    <font>
      <sz val="10"/>
      <color rgb="FF000000"/>
      <name val="Aptos Narrow"/>
      <family val="2"/>
    </font>
    <font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65" fontId="0" fillId="0" borderId="0" xfId="0" applyNumberFormat="1"/>
    <xf numFmtId="0" fontId="2" fillId="0" borderId="0" xfId="1"/>
    <xf numFmtId="165" fontId="2" fillId="0" borderId="0" xfId="1" applyNumberFormat="1"/>
    <xf numFmtId="165" fontId="2" fillId="2" borderId="0" xfId="1" applyNumberFormat="1" applyFill="1"/>
    <xf numFmtId="0" fontId="0" fillId="0" borderId="0" xfId="0" applyAlignment="1">
      <alignment horizontal="right"/>
    </xf>
    <xf numFmtId="0" fontId="3" fillId="2" borderId="0" xfId="0" applyFont="1" applyFill="1" applyAlignment="1">
      <alignment horizontal="right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5" fillId="0" borderId="1" xfId="0" applyFont="1" applyBorder="1"/>
  </cellXfs>
  <cellStyles count="2">
    <cellStyle name="Heading 4" xfId="1" builtinId="19"/>
    <cellStyle name="Normal" xfId="0" builtinId="0"/>
  </cellStyles>
  <dxfs count="158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533C934-D0A0-44E0-8CB5-DE4332A1955E}" name="flow_4" displayName="flow_4" ref="A1:E9" totalsRowCount="1" headerRowCellStyle="Heading 4" dataCellStyle="Heading 4" totalsRowCellStyle="Heading 4">
  <autoFilter ref="A1:E8" xr:uid="{381F1933-ED27-4BBD-BAEF-F39A6726BF59}"/>
  <tableColumns count="5">
    <tableColumn id="1" xr3:uid="{91BB0ADC-584A-46D5-8102-F568DE6B45CC}" name="Bank" totalsRowLabel="Total" dataCellStyle="Heading 4" totalsRowCellStyle="Heading 4"/>
    <tableColumn id="2" xr3:uid="{56B1EC79-1A6D-4194-BF67-9C268C4FD40E}" name="Product" dataCellStyle="Heading 4" totalsRowCellStyle="Heading 4"/>
    <tableColumn id="3" xr3:uid="{169BA10E-DB19-4A04-927E-B4088B8C7DC9}" name="Opening balance" totalsRowFunction="sum" dataDxfId="22" totalsRowDxfId="23" dataCellStyle="Heading 4" totalsRowCellStyle="Heading 4"/>
    <tableColumn id="4" xr3:uid="{44DC5A80-7BA4-44B0-8AC1-7E222CF7A60C}" name="Operations" totalsRowFunction="sum" dataDxfId="20" totalsRowDxfId="21" dataCellStyle="Heading 4" totalsRowCellStyle="Heading 4">
      <calculatedColumnFormula>SUMIFS(operations[Amount],operations[Bank],flow_4[[#This Row],[Bank]],operations[Product],flow_4[[#This Row],[Product]],operations[Month],$B$11)</calculatedColumnFormula>
    </tableColumn>
    <tableColumn id="5" xr3:uid="{4AFB487E-06D5-4E3F-AE02-5C1BF62A1DD1}" name="Closing balance" totalsRowFunction="sum" dataDxfId="18" totalsRowDxfId="19" dataCellStyle="Heading 4" totalsRowCellStyle="Heading 4">
      <calculatedColumnFormula>flow_4[[#This Row],[Opening balance]]+flow_4[[#This Row],[Operations]]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8529603-E5A6-4850-803E-3954CB8306A7}" name="incomes_4" displayName="incomes_4" ref="G1:H8" totalsRowCount="1" headerRowCellStyle="Heading 4" dataCellStyle="Heading 4" totalsRowCellStyle="Heading 4">
  <autoFilter ref="G1:H7" xr:uid="{D29CBFC6-329D-45E3-A413-7BBD69571EA0}"/>
  <tableColumns count="2">
    <tableColumn id="1" xr3:uid="{8FF7E4C2-DDE1-4FC0-A466-2A725CDC4F17}" name="Category" totalsRowLabel="Total" dataCellStyle="Heading 4" totalsRowCellStyle="Heading 4"/>
    <tableColumn id="2" xr3:uid="{ECEE8686-FBF5-46E7-9489-3858F1D97201}" name="Total" totalsRowFunction="sum" dataDxfId="16" totalsRowDxfId="17" dataCellStyle="Heading 4" totalsRowCellStyle="Heading 4">
      <calculatedColumnFormula>SUMIFS(operations[Amount],operations[Month],$B$11,operations[Category],incomes_4[[#This Row],[Category]])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1D3C404-54A7-46BB-B0F4-D106FF85A570}" name="expenses_11" displayName="expenses_11" ref="J1:K11" totalsRowCount="1">
  <autoFilter ref="J1:K10" xr:uid="{2A3B6B1F-E3BA-4CE0-8D25-D7AD130F2A3B}"/>
  <tableColumns count="2">
    <tableColumn id="1" xr3:uid="{521BD059-2C6D-4402-A554-95E5B4DFE4B6}" name="Category" totalsRowLabel="Total"/>
    <tableColumn id="2" xr3:uid="{F9A8C647-B336-4F55-9BCA-294A86FC9DCE}" name="Total" totalsRowFunction="sum" dataDxfId="14" totalsRowDxfId="15">
      <calculatedColumnFormula>SUMIFS(operations[Amount],operations[Month],$B$11,operations[Category],expenses_11[[#This Row],[Category]])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F12CD9E7-BE4E-4C0F-89B7-AE21DAE0C207}" name="balance_12" displayName="balance_12" ref="A13:B17" totalsRowCount="1">
  <autoFilter ref="A13:B16" xr:uid="{32B31EB4-3FF0-4AF1-A678-A4242AB5967C}"/>
  <tableColumns count="2">
    <tableColumn id="1" xr3:uid="{2E457A3F-2460-4E55-BBE0-C59ABCD4306F}" name="Type" totalsRowLabel="Total"/>
    <tableColumn id="2" xr3:uid="{ADEFD96D-0878-43B5-AB70-AD121DAED467}" name="Total" totalsRowFunction="sum" dataDxfId="12" totalsRowDxfId="13">
      <calculatedColumnFormula>SUMIFS(operations[Amount],operations[Month],$B$11,operations[Type],balance_12[[#This Row],[Type]])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5A1A0BF-9DF1-41BD-BC14-E9879CBABA7E}" name="flow_5" displayName="flow_5" ref="A1:E9" totalsRowCount="1" headerRowCellStyle="Heading 4" dataCellStyle="Heading 4" totalsRowCellStyle="Heading 4">
  <autoFilter ref="A1:E8" xr:uid="{381F1933-ED27-4BBD-BAEF-F39A6726BF59}"/>
  <tableColumns count="5">
    <tableColumn id="1" xr3:uid="{C1D7EB43-49CD-4164-9967-2BB2CEEBBFF2}" name="Bank" totalsRowLabel="Total" dataCellStyle="Heading 4" totalsRowCellStyle="Heading 4"/>
    <tableColumn id="2" xr3:uid="{1A8FACCD-C5DA-4C71-A08F-ECE541C68472}" name="Product" dataCellStyle="Heading 4" totalsRowCellStyle="Heading 4"/>
    <tableColumn id="3" xr3:uid="{976ABA24-C92C-459C-B286-5A328CF04E2C}" name="Opening balance" totalsRowFunction="sum" dataDxfId="34" totalsRowDxfId="35" dataCellStyle="Heading 4" totalsRowCellStyle="Heading 4"/>
    <tableColumn id="4" xr3:uid="{96B30C35-70D3-44F5-9423-442A3E2D89AF}" name="Operations" totalsRowFunction="sum" dataDxfId="32" totalsRowDxfId="33" dataCellStyle="Heading 4" totalsRowCellStyle="Heading 4">
      <calculatedColumnFormula>SUMIFS(operations[Amount],operations[Bank],flow_5[[#This Row],[Bank]],operations[Product],flow_5[[#This Row],[Product]],operations[Month],$B$11)</calculatedColumnFormula>
    </tableColumn>
    <tableColumn id="5" xr3:uid="{5E3F8372-8505-4D40-9461-F4B338F53FEE}" name="Closing balance" totalsRowFunction="sum" dataDxfId="30" totalsRowDxfId="31" dataCellStyle="Heading 4" totalsRowCellStyle="Heading 4">
      <calculatedColumnFormula>flow_5[[#This Row],[Opening balance]]+flow_5[[#This Row],[Operations]]</calculatedColumnFormula>
    </tableColumn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22253C9-76A7-4A40-8C2A-96098A9D6AE8}" name="incomes_5" displayName="incomes_5" ref="G1:H8" totalsRowCount="1" headerRowCellStyle="Heading 4" dataCellStyle="Heading 4" totalsRowCellStyle="Heading 4">
  <autoFilter ref="G1:H7" xr:uid="{D29CBFC6-329D-45E3-A413-7BBD69571EA0}"/>
  <tableColumns count="2">
    <tableColumn id="1" xr3:uid="{73AB90F8-1586-43A7-8AE5-ED6CB7967545}" name="Category" totalsRowLabel="Total" dataCellStyle="Heading 4" totalsRowCellStyle="Heading 4"/>
    <tableColumn id="2" xr3:uid="{F9F6BB94-C468-4D58-8E4E-1AB27FA9166D}" name="Total" totalsRowFunction="sum" dataDxfId="28" totalsRowDxfId="29" dataCellStyle="Heading 4" totalsRowCellStyle="Heading 4">
      <calculatedColumnFormula>SUMIFS(operations[Amount],operations[Month],$B$11,operations[Category],incomes_5[[#This Row],[Category]])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F2D3A10-4720-48D2-AE1E-A7811ADC7347}" name="expenses_12" displayName="expenses_12" ref="J1:K11" totalsRowCount="1">
  <autoFilter ref="J1:K10" xr:uid="{2A3B6B1F-E3BA-4CE0-8D25-D7AD130F2A3B}"/>
  <tableColumns count="2">
    <tableColumn id="1" xr3:uid="{1BC0AA8A-2A27-45FC-8B68-421803DFA5FE}" name="Category" totalsRowLabel="Total"/>
    <tableColumn id="2" xr3:uid="{786AD902-3EC3-49F0-89BD-CF113CCB5693}" name="Total" totalsRowFunction="sum" dataDxfId="26" totalsRowDxfId="27">
      <calculatedColumnFormula>SUMIFS(operations[Amount],operations[Month],$B$11,operations[Category],expenses_12[[#This Row],[Category]])</calculatedColumnFormula>
    </tableColumn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5F163D4-F18F-4565-ACEC-1DB83C7F9D6B}" name="balance_9" displayName="balance_9" ref="A13:B17" totalsRowCount="1">
  <autoFilter ref="A13:B16" xr:uid="{32B31EB4-3FF0-4AF1-A678-A4242AB5967C}"/>
  <tableColumns count="2">
    <tableColumn id="1" xr3:uid="{C7A044FB-9E21-454D-B9DC-78A849AF800C}" name="Type" totalsRowLabel="Total"/>
    <tableColumn id="2" xr3:uid="{7A3CA408-DC4F-42CB-AC96-C256B5F32EB2}" name="Total" totalsRowFunction="sum" dataDxfId="24" totalsRowDxfId="25">
      <calculatedColumnFormula>SUMIFS(operations[Amount],operations[Month],$B$11,operations[Type],balance_9[[#This Row],[Type]])</calculatedColumnFormula>
    </tableColumn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644E250-DCC0-4BC7-805F-037B26A16248}" name="flow_6" displayName="flow_6" ref="A1:E9" totalsRowCount="1" headerRowCellStyle="Heading 4" dataCellStyle="Heading 4" totalsRowCellStyle="Heading 4">
  <autoFilter ref="A1:E8" xr:uid="{381F1933-ED27-4BBD-BAEF-F39A6726BF59}"/>
  <tableColumns count="5">
    <tableColumn id="1" xr3:uid="{B918EBC5-3DF6-4EB1-8850-BE04BEC5A3F4}" name="Bank" totalsRowLabel="Total" dataCellStyle="Heading 4" totalsRowCellStyle="Heading 4"/>
    <tableColumn id="2" xr3:uid="{A082DB7C-E6F9-42FF-9DC2-689BB923073C}" name="Product" dataCellStyle="Heading 4" totalsRowCellStyle="Heading 4"/>
    <tableColumn id="3" xr3:uid="{C395CB47-F7E9-47ED-B72B-C88DFB15D06B}" name="Opening balance" totalsRowFunction="sum" dataDxfId="44" totalsRowDxfId="2" dataCellStyle="Heading 4" totalsRowCellStyle="Heading 4"/>
    <tableColumn id="4" xr3:uid="{47EE30A9-2CAF-46DE-9151-86AC92508738}" name="Operations" totalsRowFunction="sum" dataDxfId="43" totalsRowDxfId="1" dataCellStyle="Heading 4" totalsRowCellStyle="Heading 4">
      <calculatedColumnFormula>SUMIFS(operations[Amount],operations[Bank],flow_6[[#This Row],[Bank]],operations[Product],flow_6[[#This Row],[Product]],operations[Month],$B$11)</calculatedColumnFormula>
    </tableColumn>
    <tableColumn id="5" xr3:uid="{A62C303D-8615-4F84-B6A8-058E8936366D}" name="Closing balance" totalsRowFunction="sum" dataDxfId="42" totalsRowDxfId="0" dataCellStyle="Heading 4" totalsRowCellStyle="Heading 4">
      <calculatedColumnFormula>flow_6[[#This Row],[Opening balance]]+flow_6[[#This Row],[Operations]]</calculatedColumnFormula>
    </tableColumn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238D671-2CB7-46BC-991A-CD1438155546}" name="incomes_6" displayName="incomes_6" ref="G1:H8" totalsRowCount="1" headerRowCellStyle="Heading 4" dataCellStyle="Heading 4" totalsRowCellStyle="Heading 4">
  <autoFilter ref="G1:H7" xr:uid="{D29CBFC6-329D-45E3-A413-7BBD69571EA0}"/>
  <tableColumns count="2">
    <tableColumn id="1" xr3:uid="{7C0C2C56-F62F-45E7-8129-5B161AD059C1}" name="Category" totalsRowLabel="Total" dataCellStyle="Heading 4" totalsRowCellStyle="Heading 4"/>
    <tableColumn id="2" xr3:uid="{479B440F-66DC-4D37-A802-69DD5AC10E44}" name="Total" totalsRowFunction="sum" dataDxfId="40" totalsRowDxfId="41" dataCellStyle="Heading 4" totalsRowCellStyle="Heading 4">
      <calculatedColumnFormula>SUMIFS(operations[Amount],operations[Month],$B$11,operations[Category],incomes_6[[#This Row],[Category]])</calculatedColumnFormula>
    </tableColumn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CF55A4E-70B1-452C-8F02-18F969FF20D5}" name="expenses_10" displayName="expenses_10" ref="J1:K11" totalsRowCount="1">
  <autoFilter ref="J1:K10" xr:uid="{2A3B6B1F-E3BA-4CE0-8D25-D7AD130F2A3B}"/>
  <tableColumns count="2">
    <tableColumn id="1" xr3:uid="{C8D10756-52D6-42C8-9134-E2B29BE095BA}" name="Category" totalsRowLabel="Total"/>
    <tableColumn id="2" xr3:uid="{436D4AFE-E0BD-4CB9-8A94-9B22EB6832DB}" name="Total" totalsRowFunction="sum" dataDxfId="38" totalsRowDxfId="39">
      <calculatedColumnFormula>SUMIFS(operations[Amount],operations[Month],$B$11,operations[Category],expenses_10[[#This Row],[Category]])</calculatedColumnFormula>
    </tableColumn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E6D5141-A2D5-45DF-A08E-EAE2F07556C9}" name="balance_8" displayName="balance_8" ref="A13:B17" totalsRowCount="1">
  <autoFilter ref="A13:B16" xr:uid="{32B31EB4-3FF0-4AF1-A678-A4242AB5967C}"/>
  <tableColumns count="2">
    <tableColumn id="1" xr3:uid="{A0FFEC1A-9BDF-4F56-B0FD-F5A0AB075254}" name="Type" totalsRowLabel="Total"/>
    <tableColumn id="2" xr3:uid="{A9DAD050-0078-416D-98E5-BF9B852092F5}" name="Total" totalsRowFunction="sum" dataDxfId="36" totalsRowDxfId="37">
      <calculatedColumnFormula>SUMIFS(operations[Amount],operations[Month],$B$11,operations[Type],balance_8[[#This Row],[Type]])</calculatedColumnFormula>
    </tableColumn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EB9D6B1-3F33-45E7-802D-FA46015AA86C}" name="flow_7" displayName="flow_7" ref="A1:E9" totalsRowCount="1" headerRowCellStyle="Heading 4" dataCellStyle="Heading 4" totalsRowCellStyle="Heading 4">
  <autoFilter ref="A1:E8" xr:uid="{381F1933-ED27-4BBD-BAEF-F39A6726BF59}"/>
  <tableColumns count="5">
    <tableColumn id="1" xr3:uid="{15C6B8A4-5A49-4DFF-A216-4BE42E054BA0}" name="Bank" totalsRowLabel="Total" dataCellStyle="Heading 4" totalsRowCellStyle="Heading 4"/>
    <tableColumn id="2" xr3:uid="{7EB968A5-E02D-4790-B517-AD6E81598045}" name="Product" dataCellStyle="Heading 4" totalsRowCellStyle="Heading 4"/>
    <tableColumn id="3" xr3:uid="{3FE4C0BB-7DA7-4462-AD25-34FAD7677B73}" name="Opening balance" totalsRowFunction="sum" dataDxfId="55" totalsRowDxfId="56" dataCellStyle="Heading 4" totalsRowCellStyle="Heading 4"/>
    <tableColumn id="4" xr3:uid="{0F280971-F75E-431B-92B8-B80DEBD8D25B}" name="Operations" totalsRowFunction="sum" dataDxfId="53" totalsRowDxfId="54" dataCellStyle="Heading 4" totalsRowCellStyle="Heading 4">
      <calculatedColumnFormula>SUMIFS(operations[Amount],operations[Bank],flow_7[[#This Row],[Bank]],operations[Product],flow_7[[#This Row],[Product]],operations[Month],$B$11)</calculatedColumnFormula>
    </tableColumn>
    <tableColumn id="5" xr3:uid="{7FA37B2D-FB20-450E-B541-E0354AAD68B8}" name="Closing balance" totalsRowFunction="sum" dataDxfId="51" totalsRowDxfId="52" dataCellStyle="Heading 4" totalsRowCellStyle="Heading 4">
      <calculatedColumnFormula>flow_7[[#This Row],[Opening balance]]+flow_7[[#This Row],[Operations]]</calculatedColumnFormula>
    </tableColumn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9FFCB54-7A0E-49D0-A33E-5A0D9834CC43}" name="incomes_7" displayName="incomes_7" ref="G1:H8" totalsRowCount="1" headerRowCellStyle="Heading 4" dataCellStyle="Heading 4" totalsRowCellStyle="Heading 4">
  <autoFilter ref="G1:H7" xr:uid="{D29CBFC6-329D-45E3-A413-7BBD69571EA0}"/>
  <tableColumns count="2">
    <tableColumn id="1" xr3:uid="{D57B20E2-A6CA-4D41-BCCE-0E43FE860008}" name="Category" totalsRowLabel="Total" dataCellStyle="Heading 4" totalsRowCellStyle="Heading 4"/>
    <tableColumn id="2" xr3:uid="{4427F946-D09C-47C2-B70C-DAFDC39CCF09}" name="Total" totalsRowFunction="sum" dataDxfId="49" totalsRowDxfId="50" dataCellStyle="Heading 4" totalsRowCellStyle="Heading 4">
      <calculatedColumnFormula>SUMIFS(operations[Amount],operations[Month],$B$11,operations[Category],incomes_7[[#This Row],[Category]])</calculatedColumnFormula>
    </tableColumn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8FE0D28-1975-441D-A862-F4EB4F68DA17}" name="expenses_9" displayName="expenses_9" ref="J1:K11" totalsRowCount="1">
  <autoFilter ref="J1:K10" xr:uid="{2A3B6B1F-E3BA-4CE0-8D25-D7AD130F2A3B}"/>
  <tableColumns count="2">
    <tableColumn id="1" xr3:uid="{11460C05-907D-4E4E-BF5B-628A95CA860E}" name="Category" totalsRowLabel="Total"/>
    <tableColumn id="2" xr3:uid="{25461057-21DC-4428-B48D-68796F9616ED}" name="Total" totalsRowFunction="sum" dataDxfId="47" totalsRowDxfId="48">
      <calculatedColumnFormula>SUMIFS(operations[Amount],operations[Month],$B$11,operations[Category],expenses_9[[#This Row],[Category]])</calculatedColumnFormula>
    </tableColumn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D3D452E-D60B-4E72-BD41-25F51FECBD99}" name="balance_7" displayName="balance_7" ref="A13:B17" totalsRowCount="1">
  <autoFilter ref="A13:B16" xr:uid="{32B31EB4-3FF0-4AF1-A678-A4242AB5967C}"/>
  <tableColumns count="2">
    <tableColumn id="1" xr3:uid="{CDED9299-92A9-4AB4-89AC-C985A4FFAB1E}" name="Type" totalsRowLabel="Total"/>
    <tableColumn id="2" xr3:uid="{CBCEB17A-7D4F-404F-B007-DC6CD3ED295E}" name="Total" totalsRowFunction="sum" dataDxfId="45" totalsRowDxfId="46">
      <calculatedColumnFormula>SUMIFS(operations[Amount],operations[Month],$B$11,operations[Type],balance_7[[#This Row],[Type]])</calculatedColumnFormula>
    </tableColumn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6D091DB-AC6A-43A5-AA44-F73098AEC28E}" name="flow_8" displayName="flow_8" ref="A1:E9" totalsRowCount="1" headerRowCellStyle="Heading 4" dataCellStyle="Heading 4" totalsRowCellStyle="Heading 4">
  <autoFilter ref="A1:E8" xr:uid="{381F1933-ED27-4BBD-BAEF-F39A6726BF59}"/>
  <tableColumns count="5">
    <tableColumn id="1" xr3:uid="{AA85CC81-A2BE-4CFA-AD74-FC18BADD011E}" name="Bank" totalsRowLabel="Total" dataCellStyle="Heading 4" totalsRowCellStyle="Heading 4"/>
    <tableColumn id="2" xr3:uid="{5BAFF8A5-F14C-4C92-904D-17909752AA04}" name="Product" dataCellStyle="Heading 4" totalsRowCellStyle="Heading 4"/>
    <tableColumn id="3" xr3:uid="{F91D3BAD-8A53-484B-8F8B-6BA1B23822E6}" name="Opening balance" totalsRowFunction="sum" dataDxfId="67" totalsRowDxfId="68" dataCellStyle="Heading 4" totalsRowCellStyle="Heading 4"/>
    <tableColumn id="4" xr3:uid="{DE16C1C8-0138-4DA0-B151-0BA37A3C4666}" name="Operations" totalsRowFunction="sum" dataDxfId="65" totalsRowDxfId="66" dataCellStyle="Heading 4" totalsRowCellStyle="Heading 4">
      <calculatedColumnFormula>SUMIFS(operations[Amount],operations[Bank],flow_8[[#This Row],[Bank]],operations[Product],flow_8[[#This Row],[Product]],operations[Month],$B$11)</calculatedColumnFormula>
    </tableColumn>
    <tableColumn id="5" xr3:uid="{897DDB32-4FF8-4F4E-BE3F-D9890B144CB1}" name="Closing balance" totalsRowFunction="sum" dataDxfId="63" totalsRowDxfId="64" dataCellStyle="Heading 4" totalsRowCellStyle="Heading 4">
      <calculatedColumnFormula>flow_8[[#This Row],[Opening balance]]+flow_8[[#This Row],[Operations]]</calculatedColumnFormula>
    </tableColumn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9A323E6-2301-4911-96D2-70AFC081A57F}" name="incomes_8" displayName="incomes_8" ref="G1:H8" totalsRowCount="1" headerRowCellStyle="Heading 4" dataCellStyle="Heading 4" totalsRowCellStyle="Heading 4">
  <autoFilter ref="G1:H7" xr:uid="{D29CBFC6-329D-45E3-A413-7BBD69571EA0}"/>
  <tableColumns count="2">
    <tableColumn id="1" xr3:uid="{C585B979-39ED-45C4-A0F0-436512D7FB49}" name="Category" totalsRowLabel="Total" dataCellStyle="Heading 4" totalsRowCellStyle="Heading 4"/>
    <tableColumn id="2" xr3:uid="{D913F11D-41A2-4BEA-9C4D-AE8DD103AEA4}" name="Total" totalsRowFunction="sum" dataDxfId="61" totalsRowDxfId="62" dataCellStyle="Heading 4" totalsRowCellStyle="Heading 4">
      <calculatedColumnFormula>SUMIFS(operations[Amount],operations[Month],$B$11,operations[Category],incomes_8[[#This Row],[Category]])</calculatedColumnFormula>
    </tableColumn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A1B6F75-4ED7-417B-AB9F-C7EBDF8D621A}" name="expenses_8" displayName="expenses_8" ref="J1:K11" totalsRowCount="1">
  <autoFilter ref="J1:K10" xr:uid="{2A3B6B1F-E3BA-4CE0-8D25-D7AD130F2A3B}"/>
  <tableColumns count="2">
    <tableColumn id="1" xr3:uid="{F795B4C7-93D6-44FF-BAAC-DC331DBEBE0E}" name="Category" totalsRowLabel="Total"/>
    <tableColumn id="2" xr3:uid="{A4D5333B-3608-458B-8CA4-56B71C25656D}" name="Total" totalsRowFunction="sum" dataDxfId="59" totalsRowDxfId="60">
      <calculatedColumnFormula>SUMIFS(operations[Amount],operations[Month],$B$11,operations[Category],expenses_8[[#This Row],[Category]])</calculatedColumnFormula>
    </tableColumn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36B562B-9146-44B0-9A79-D486C019254D}" name="balance_6" displayName="balance_6" ref="A13:B17" totalsRowCount="1">
  <autoFilter ref="A13:B16" xr:uid="{32B31EB4-3FF0-4AF1-A678-A4242AB5967C}"/>
  <tableColumns count="2">
    <tableColumn id="1" xr3:uid="{96BEA39D-7D9A-4E31-9517-3A08B68EB537}" name="Type" totalsRowLabel="Total"/>
    <tableColumn id="2" xr3:uid="{94515CD9-231A-4247-8C53-982E58052AD6}" name="Total" totalsRowFunction="sum" dataDxfId="57" totalsRowDxfId="58">
      <calculatedColumnFormula>SUMIFS(operations[Amount],operations[Month],$B$11,operations[Type],balance_6[[#This Row],[Type]])</calculatedColumnFormula>
    </tableColumn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1077BD9-2A28-4EB3-870F-A4E6DCC8C6A0}" name="flow_9" displayName="flow_9" ref="A1:E9" totalsRowCount="1" headerRowCellStyle="Heading 4" dataCellStyle="Heading 4" totalsRowCellStyle="Heading 4">
  <autoFilter ref="A1:E8" xr:uid="{381F1933-ED27-4BBD-BAEF-F39A6726BF59}"/>
  <tableColumns count="5">
    <tableColumn id="1" xr3:uid="{A379BFB3-57F0-4F11-9769-25517EBEA80C}" name="Bank" totalsRowLabel="Total" dataCellStyle="Heading 4" totalsRowCellStyle="Heading 4"/>
    <tableColumn id="2" xr3:uid="{F5FAEE1E-8A2B-4BCE-BA78-25A84648F19D}" name="Product" dataCellStyle="Heading 4" totalsRowCellStyle="Heading 4"/>
    <tableColumn id="3" xr3:uid="{21A8C4E4-C5AA-4D2F-A216-4BBD88D95FE7}" name="Opening balance" totalsRowFunction="sum" dataDxfId="79" totalsRowDxfId="80" dataCellStyle="Heading 4" totalsRowCellStyle="Heading 4"/>
    <tableColumn id="4" xr3:uid="{09DA3A05-CC1F-4043-884A-D6F0430F5772}" name="Operations" totalsRowFunction="sum" dataDxfId="77" totalsRowDxfId="78" dataCellStyle="Heading 4" totalsRowCellStyle="Heading 4">
      <calculatedColumnFormula>SUMIFS(operations[Amount],operations[Bank],flow_9[[#This Row],[Bank]],operations[Product],flow_9[[#This Row],[Product]],operations[Month],$B$11)</calculatedColumnFormula>
    </tableColumn>
    <tableColumn id="5" xr3:uid="{99BE8B43-77A5-455E-870C-B26C291C4E62}" name="Closing balance" totalsRowFunction="sum" dataDxfId="75" totalsRowDxfId="76" dataCellStyle="Heading 4" totalsRowCellStyle="Heading 4">
      <calculatedColumnFormula>flow_9[[#This Row],[Opening balance]]+flow_9[[#This Row],[Operations]]</calculatedColumnFormula>
    </tableColumn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19A7233-AA5C-428A-9462-875E2415400A}" name="incomes_9" displayName="incomes_9" ref="G1:H8" totalsRowCount="1" headerRowCellStyle="Heading 4" dataCellStyle="Heading 4" totalsRowCellStyle="Heading 4">
  <autoFilter ref="G1:H7" xr:uid="{D29CBFC6-329D-45E3-A413-7BBD69571EA0}"/>
  <tableColumns count="2">
    <tableColumn id="1" xr3:uid="{2A2F981B-0F56-433F-BBC3-6E2A57FE0FF1}" name="Category" totalsRowLabel="Total" dataCellStyle="Heading 4" totalsRowCellStyle="Heading 4"/>
    <tableColumn id="2" xr3:uid="{EA428A19-040A-474B-9778-9461A48D95A9}" name="Total" totalsRowFunction="sum" dataDxfId="73" totalsRowDxfId="74" dataCellStyle="Heading 4" totalsRowCellStyle="Heading 4">
      <calculatedColumnFormula>SUMIFS(operations[Amount],operations[Month],$B$11,operations[Category],incomes_9[[#This Row],[Category]])</calculatedColumnFormula>
    </tableColumn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3C4DFE0-A0B7-42CD-B650-A7321B5AAA1C}" name="expenses_7" displayName="expenses_7" ref="J1:K11" totalsRowCount="1">
  <autoFilter ref="J1:K10" xr:uid="{2A3B6B1F-E3BA-4CE0-8D25-D7AD130F2A3B}"/>
  <tableColumns count="2">
    <tableColumn id="1" xr3:uid="{A2659203-5E61-4ACB-ACE0-B24D7B048036}" name="Category" totalsRowLabel="Total"/>
    <tableColumn id="2" xr3:uid="{E53C7AB2-7E7E-4A27-B6E3-712F19ABA008}" name="Total" totalsRowFunction="sum" dataDxfId="71" totalsRowDxfId="72">
      <calculatedColumnFormula>SUMIFS(operations[Amount],operations[Month],$B$11,operations[Category],expenses_7[[#This Row],[Category]])</calculatedColumnFormula>
    </tableColumn>
  </tableColumns>
  <tableStyleInfo name="TableStyleMedium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DE586F1-410A-43BC-BEA0-1CFF0E987A0E}" name="balance_5" displayName="balance_5" ref="A13:B17" totalsRowCount="1">
  <autoFilter ref="A13:B16" xr:uid="{32B31EB4-3FF0-4AF1-A678-A4242AB5967C}"/>
  <tableColumns count="2">
    <tableColumn id="1" xr3:uid="{55BBA5A6-330C-41B4-A729-39A7A072DA1A}" name="Type" totalsRowLabel="Total"/>
    <tableColumn id="2" xr3:uid="{22020D6B-2EC0-4DF7-A27A-3E73DFB74B6B}" name="Total" totalsRowFunction="sum" dataDxfId="69" totalsRowDxfId="70">
      <calculatedColumnFormula>SUMIFS(operations[Amount],operations[Month],$B$11,operations[Type],balance_5[[#This Row],[Type]])</calculatedColumnFormula>
    </tableColumn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45F3B4E-84B1-426F-A7AB-C9F4F10EE7D8}" name="flow_10" displayName="flow_10" ref="A1:E9" totalsRowCount="1" headerRowCellStyle="Heading 4" dataCellStyle="Heading 4" totalsRowCellStyle="Heading 4">
  <autoFilter ref="A1:E8" xr:uid="{381F1933-ED27-4BBD-BAEF-F39A6726BF59}"/>
  <tableColumns count="5">
    <tableColumn id="1" xr3:uid="{BC4C4E26-9135-4E48-96C6-64762478756E}" name="Bank" totalsRowLabel="Total" dataCellStyle="Heading 4" totalsRowCellStyle="Heading 4"/>
    <tableColumn id="2" xr3:uid="{AE4DD2D0-3DA7-47A3-B03E-80B21F1C7DE6}" name="Product" dataCellStyle="Heading 4" totalsRowCellStyle="Heading 4"/>
    <tableColumn id="3" xr3:uid="{EB6530B5-F1A0-4FBE-ACC2-00A3F3D6843B}" name="Opening balance" totalsRowFunction="sum" dataDxfId="91" totalsRowDxfId="92" dataCellStyle="Heading 4" totalsRowCellStyle="Heading 4"/>
    <tableColumn id="4" xr3:uid="{5DA2D95D-959C-4932-9E95-5FFCDC526577}" name="Operations" totalsRowFunction="sum" dataDxfId="89" totalsRowDxfId="90" dataCellStyle="Heading 4" totalsRowCellStyle="Heading 4">
      <calculatedColumnFormula>SUMIFS(operations[Amount],operations[Bank],flow_10[[#This Row],[Bank]],operations[Product],flow_10[[#This Row],[Product]],operations[Month],$B$11)</calculatedColumnFormula>
    </tableColumn>
    <tableColumn id="5" xr3:uid="{4F14AEF5-754B-4B5A-8E39-59E678F07B47}" name="Closing balance" totalsRowFunction="sum" dataDxfId="87" totalsRowDxfId="88" dataCellStyle="Heading 4" totalsRowCellStyle="Heading 4">
      <calculatedColumnFormula>flow_10[[#This Row],[Opening balance]]+flow_10[[#This Row],[Operations]]</calculatedColumnFormula>
    </tableColumn>
  </tableColumns>
  <tableStyleInfo name="TableStyleMedium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ABC93E6-7EE7-4F08-B1A5-145BB12B3822}" name="incomes_214222630" displayName="incomes_214222630" ref="G1:H8" totalsRowCount="1" headerRowCellStyle="Heading 4" dataCellStyle="Heading 4" totalsRowCellStyle="Heading 4">
  <autoFilter ref="G1:H7" xr:uid="{D29CBFC6-329D-45E3-A413-7BBD69571EA0}"/>
  <tableColumns count="2">
    <tableColumn id="1" xr3:uid="{28DF5510-E80E-4E91-9E72-64F1B042D9D0}" name="Category" totalsRowLabel="Total" dataCellStyle="Heading 4" totalsRowCellStyle="Heading 4"/>
    <tableColumn id="2" xr3:uid="{128546DA-29D9-4437-B867-74F387B56AB0}" name="Total" totalsRowFunction="sum" dataDxfId="85" totalsRowDxfId="86" dataCellStyle="Heading 4" totalsRowCellStyle="Heading 4">
      <calculatedColumnFormula>SUMIFS(operations[Amount],operations[Month],$B$11,operations[Category],incomes_214222630[[#This Row],[Category]])</calculatedColumnFormula>
    </tableColumn>
  </tableColumns>
  <tableStyleInfo name="TableStyleMedium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E0D8F4F-4880-4DEF-9778-CCB75D393BEE}" name="expenses_6" displayName="expenses_6" ref="J1:K11" totalsRowCount="1">
  <autoFilter ref="J1:K10" xr:uid="{2A3B6B1F-E3BA-4CE0-8D25-D7AD130F2A3B}"/>
  <tableColumns count="2">
    <tableColumn id="1" xr3:uid="{57C1C491-5D5F-46AF-9569-42CFD8DA5DD3}" name="Category" totalsRowLabel="Total"/>
    <tableColumn id="2" xr3:uid="{5A3ED6D6-A674-467E-94C1-54B9D08AD747}" name="Total" totalsRowFunction="sum" dataDxfId="83" totalsRowDxfId="84">
      <calculatedColumnFormula>SUMIFS(operations[Amount],operations[Month],$B$11,operations[Category],expenses_6[[#This Row],[Category]])</calculatedColumnFormula>
    </tableColumn>
  </tableColumns>
  <tableStyleInfo name="TableStyleMedium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1002DCE-9DDA-4352-BD33-4785F38D1D89}" name="balance_4" displayName="balance_4" ref="A13:B17" totalsRowCount="1">
  <autoFilter ref="A13:B16" xr:uid="{32B31EB4-3FF0-4AF1-A678-A4242AB5967C}"/>
  <tableColumns count="2">
    <tableColumn id="1" xr3:uid="{F9431F83-E3B2-4187-A972-C6CDB69FE448}" name="Type" totalsRowLabel="Total"/>
    <tableColumn id="2" xr3:uid="{119C43F1-A3AD-4256-A767-EDCDD5FFCB2F}" name="Total" totalsRowFunction="sum" dataDxfId="81" totalsRowDxfId="82">
      <calculatedColumnFormula>SUMIFS(operations[Amount],operations[Month],$B$11,operations[Type],balance_4[[#This Row],[Type]])</calculatedColumnFormula>
    </tableColumn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3538977-869D-4E09-ABFB-170A3FA359E8}" name="flow_11" displayName="flow_11" ref="A1:E9" totalsRowCount="1" headerRowCellStyle="Heading 4" dataCellStyle="Heading 4" totalsRowCellStyle="Heading 4">
  <autoFilter ref="A1:E8" xr:uid="{381F1933-ED27-4BBD-BAEF-F39A6726BF59}"/>
  <tableColumns count="5">
    <tableColumn id="1" xr3:uid="{2FE60CCF-F6C5-4C72-A56B-455A06DE3A75}" name="Bank" totalsRowLabel="Total" dataCellStyle="Heading 4" totalsRowCellStyle="Heading 4"/>
    <tableColumn id="2" xr3:uid="{F9F2599A-AFB7-4C6B-B525-0BDF4524F40A}" name="Product" dataCellStyle="Heading 4" totalsRowCellStyle="Heading 4"/>
    <tableColumn id="3" xr3:uid="{94102399-907A-41FE-BDCE-BD656158AF40}" name="Opening balance" totalsRowFunction="sum" dataDxfId="8" totalsRowDxfId="7" dataCellStyle="Heading 4" totalsRowCellStyle="Heading 4"/>
    <tableColumn id="4" xr3:uid="{FC9BC35A-9092-49C2-84F5-86A9F709177F}" name="Operations" totalsRowFunction="sum" dataDxfId="6" totalsRowDxfId="5" dataCellStyle="Heading 4" totalsRowCellStyle="Heading 4">
      <calculatedColumnFormula>SUMIFS(operations[Amount],operations[Bank],flow_11[[#This Row],[Bank]],operations[Product],flow_11[[#This Row],[Product]],operations[Month],$B$11)</calculatedColumnFormula>
    </tableColumn>
    <tableColumn id="5" xr3:uid="{A9E188EA-15DC-4D47-9BEC-3A99F9B16DEF}" name="Closing balance" totalsRowFunction="sum" dataDxfId="4" totalsRowDxfId="3" dataCellStyle="Heading 4" totalsRowCellStyle="Heading 4">
      <calculatedColumnFormula>flow_11[[#This Row],[Opening balance]]+flow_11[[#This Row],[Operations]]</calculatedColumnFormula>
    </tableColumn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64DEA3C-A831-4051-95AB-9FEC3E2AE1B0}" name="incomes_2142226" displayName="incomes_2142226" ref="G1:H8" totalsRowCount="1" headerRowCellStyle="Heading 4" dataCellStyle="Heading 4" totalsRowCellStyle="Heading 4">
  <autoFilter ref="G1:H7" xr:uid="{D29CBFC6-329D-45E3-A413-7BBD69571EA0}"/>
  <tableColumns count="2">
    <tableColumn id="1" xr3:uid="{ACF2A70B-88F5-4350-9971-F9DFA5C472CF}" name="Category" totalsRowLabel="Total" dataCellStyle="Heading 4" totalsRowCellStyle="Heading 4"/>
    <tableColumn id="2" xr3:uid="{A81C3D50-5796-4B79-976C-8E32496BCF6C}" name="Total" totalsRowFunction="sum" dataDxfId="97" totalsRowDxfId="98" dataCellStyle="Heading 4" totalsRowCellStyle="Heading 4">
      <calculatedColumnFormula>SUMIFS(operations[Amount],operations[Month],$B$11,operations[Category],incomes_2142226[[#This Row],[Category]])</calculatedColumnFormula>
    </tableColumn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8D01336-32C9-49C9-AD7E-63420C1FBF65}" name="expenses_5" displayName="expenses_5" ref="J1:K11" totalsRowCount="1">
  <autoFilter ref="J1:K10" xr:uid="{2A3B6B1F-E3BA-4CE0-8D25-D7AD130F2A3B}"/>
  <tableColumns count="2">
    <tableColumn id="1" xr3:uid="{A6FC9D1C-6C0C-4823-A51F-72FD563921F4}" name="Category" totalsRowLabel="Total"/>
    <tableColumn id="2" xr3:uid="{CF572AE7-166A-426C-AD1B-D6236929F259}" name="Total" totalsRowFunction="sum" dataDxfId="95" totalsRowDxfId="96">
      <calculatedColumnFormula>SUMIFS(operations[Amount],operations[Month],$B$11,operations[Category],expenses_5[[#This Row],[Category]])</calculatedColumnFormula>
    </tableColumn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DD719A5-D401-4102-ADD8-61EA39051FA8}" name="balance_11" displayName="balance_11" ref="A13:B17" totalsRowCount="1">
  <autoFilter ref="A13:B16" xr:uid="{32B31EB4-3FF0-4AF1-A678-A4242AB5967C}"/>
  <tableColumns count="2">
    <tableColumn id="1" xr3:uid="{B88BD957-73D8-4C38-99CC-F4FCCC123C3B}" name="Type" totalsRowLabel="Total"/>
    <tableColumn id="2" xr3:uid="{07DFD67B-6086-42E9-A197-FE71CC978A5E}" name="Total" totalsRowFunction="sum" dataDxfId="93" totalsRowDxfId="94">
      <calculatedColumnFormula>SUMIFS(operations[Amount],operations[Month],$B$11,operations[Type],balance_11[[#This Row],[Type]])</calculatedColumnFormula>
    </tableColumn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8620090-F34C-4795-9D8C-4A210D37D504}" name="flow_12" displayName="flow_12" ref="A1:E9" totalsRowCount="1" headerRowCellStyle="Heading 4" dataCellStyle="Heading 4" totalsRowCellStyle="Heading 4">
  <autoFilter ref="A1:E8" xr:uid="{381F1933-ED27-4BBD-BAEF-F39A6726BF59}"/>
  <tableColumns count="5">
    <tableColumn id="1" xr3:uid="{5850D67A-3191-4504-973A-E23FADBBE969}" name="Bank" totalsRowLabel="Total" dataCellStyle="Heading 4" totalsRowCellStyle="Heading 4"/>
    <tableColumn id="2" xr3:uid="{4D7DA075-438B-44B5-862D-BCA4213944F9}" name="Product" dataCellStyle="Heading 4" totalsRowCellStyle="Heading 4"/>
    <tableColumn id="3" xr3:uid="{2F1ABA5D-3CA8-4D24-909E-DEC3138FA591}" name="Opening balance" totalsRowFunction="sum" dataDxfId="109" totalsRowDxfId="110" dataCellStyle="Heading 4" totalsRowCellStyle="Heading 4"/>
    <tableColumn id="4" xr3:uid="{B450B659-9F44-47D0-A2C1-4CC289601C19}" name="Operations" totalsRowFunction="sum" dataDxfId="107" totalsRowDxfId="108" dataCellStyle="Heading 4" totalsRowCellStyle="Heading 4">
      <calculatedColumnFormula>SUMIFS(operations[Amount],operations[Bank],flow_12[[#This Row],[Bank]],operations[Product],flow_12[[#This Row],[Product]],operations[Month],$B$11)</calculatedColumnFormula>
    </tableColumn>
    <tableColumn id="5" xr3:uid="{21CB2344-EA6D-4968-8057-BAF51C5F7BC8}" name="Closing balance" totalsRowFunction="sum" dataDxfId="105" totalsRowDxfId="106" dataCellStyle="Heading 4" totalsRowCellStyle="Heading 4">
      <calculatedColumnFormula>flow_12[[#This Row],[Opening balance]]+flow_12[[#This Row],[Operations]]</calculatedColumnFormula>
    </tableColumn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885E5C1-33E8-442C-B360-E3E978132380}" name="incomes_21422" displayName="incomes_21422" ref="G1:H8" totalsRowCount="1" headerRowCellStyle="Heading 4" dataCellStyle="Heading 4" totalsRowCellStyle="Heading 4">
  <autoFilter ref="G1:H7" xr:uid="{D29CBFC6-329D-45E3-A413-7BBD69571EA0}"/>
  <tableColumns count="2">
    <tableColumn id="1" xr3:uid="{2318210E-8217-4C62-9210-67642AC0A846}" name="Category" totalsRowLabel="Total" dataCellStyle="Heading 4" totalsRowCellStyle="Heading 4"/>
    <tableColumn id="2" xr3:uid="{C08BE40A-D258-49C9-87CE-FA568F28AA44}" name="Total" totalsRowFunction="sum" dataDxfId="103" totalsRowDxfId="104" dataCellStyle="Heading 4" totalsRowCellStyle="Heading 4">
      <calculatedColumnFormula>SUMIFS(operations[Amount],operations[Month],$B$11,operations[Category],incomes_21422[[#This Row],[Category]])</calculatedColumnFormula>
    </tableColumn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78032C1-E77C-4661-AF8A-37BC59ED5329}" name="expenses_4" displayName="expenses_4" ref="J1:K11" totalsRowCount="1">
  <autoFilter ref="J1:K10" xr:uid="{2A3B6B1F-E3BA-4CE0-8D25-D7AD130F2A3B}"/>
  <tableColumns count="2">
    <tableColumn id="1" xr3:uid="{12E7041F-9A89-4D31-B76D-2DA1A79C1F2B}" name="Category" totalsRowLabel="Total"/>
    <tableColumn id="2" xr3:uid="{D62F0760-2033-4947-83C6-D99B4F9D130F}" name="Total" totalsRowFunction="sum" dataDxfId="101" totalsRowDxfId="102">
      <calculatedColumnFormula>SUMIFS(operations[Amount],operations[Month],$B$11,operations[Category],expenses_4[[#This Row],[Category]])</calculatedColumnFormula>
    </tableColumn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6A04F39-E09A-48EC-80E5-192933861FAF}" name="balance_10" displayName="balance_10" ref="A13:B17" totalsRowCount="1">
  <autoFilter ref="A13:B16" xr:uid="{32B31EB4-3FF0-4AF1-A678-A4242AB5967C}"/>
  <tableColumns count="2">
    <tableColumn id="1" xr3:uid="{08059AF5-903E-4E59-BBC9-B9D3E19AEE2F}" name="Type" totalsRowLabel="Total"/>
    <tableColumn id="2" xr3:uid="{F8982A72-E92B-4D70-9BBD-4E7F53AF25EE}" name="Total" totalsRowFunction="sum" dataDxfId="99" totalsRowDxfId="100">
      <calculatedColumnFormula>SUMIFS(operations[Amount],operations[Month],$B$11,operations[Type],balance_10[[#This Row],[Type]])</calculatedColumnFormula>
    </tableColumn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E631AB1-D1E9-4169-8850-C9F7FE213F75}" name="flow_3" displayName="flow_3" ref="A1:E9" totalsRowCount="1" headerRowCellStyle="Heading 4" dataCellStyle="Heading 4" totalsRowCellStyle="Heading 4">
  <autoFilter ref="A1:E8" xr:uid="{381F1933-ED27-4BBD-BAEF-F39A6726BF59}"/>
  <tableColumns count="5">
    <tableColumn id="1" xr3:uid="{BFC242FF-2091-46BB-B162-ECD133EE13F8}" name="Bank" totalsRowLabel="Total" dataCellStyle="Heading 4" totalsRowCellStyle="Heading 4"/>
    <tableColumn id="2" xr3:uid="{F96B441C-D308-4F8F-9494-8B479D907327}" name="Product" dataCellStyle="Heading 4" totalsRowCellStyle="Heading 4"/>
    <tableColumn id="3" xr3:uid="{5C36A555-AB8D-4E75-80AB-57F69AD8F10E}" name="Opening balance" totalsRowFunction="sum" dataDxfId="119" totalsRowDxfId="11" dataCellStyle="Heading 4" totalsRowCellStyle="Heading 4"/>
    <tableColumn id="4" xr3:uid="{4B48B7A5-0E69-40FD-A14C-6A2C2D4FEDCB}" name="Operations" totalsRowFunction="sum" dataDxfId="118" totalsRowDxfId="10" dataCellStyle="Heading 4" totalsRowCellStyle="Heading 4">
      <calculatedColumnFormula>SUMIFS(operations[Amount],operations[Bank],flow_3[[#This Row],[Bank]],operations[Product],flow_3[[#This Row],[Product]],operations[Month],$B$11)</calculatedColumnFormula>
    </tableColumn>
    <tableColumn id="5" xr3:uid="{4ACB2557-AF97-4C54-9588-BE701AE0EF2C}" name="Closing balance" totalsRowFunction="sum" dataDxfId="117" totalsRowDxfId="9" dataCellStyle="Heading 4" totalsRowCellStyle="Heading 4">
      <calculatedColumnFormula>flow_3[[#This Row],[Opening balance]]+flow_3[[#This Row],[Operations]]</calculatedColumnFormula>
    </tableColumn>
  </tableColumns>
  <tableStyleInfo name="TableStyleMedium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599910C-3F26-47A0-BD31-C2C6643B5E36}" name="incomes_3" displayName="incomes_3" ref="G1:H8" totalsRowCount="1" headerRowCellStyle="Heading 4" dataCellStyle="Heading 4" totalsRowCellStyle="Heading 4">
  <autoFilter ref="G1:H7" xr:uid="{D29CBFC6-329D-45E3-A413-7BBD69571EA0}"/>
  <tableColumns count="2">
    <tableColumn id="1" xr3:uid="{1D4E5AB4-0FDD-4A51-9D78-CE3C75A19F90}" name="Category" totalsRowLabel="Total" dataCellStyle="Heading 4" totalsRowCellStyle="Heading 4"/>
    <tableColumn id="2" xr3:uid="{E01B5C3B-587C-4B5C-8B55-C5FEA8DE112A}" name="Total" totalsRowFunction="sum" dataDxfId="115" totalsRowDxfId="116" dataCellStyle="Heading 4" totalsRowCellStyle="Heading 4">
      <calculatedColumnFormula>SUMIFS(operations[Amount],operations[Month],$B$11,operations[Category],incomes_3[[#This Row],[Category]])</calculatedColumnFormula>
    </tableColumn>
  </tableColumns>
  <tableStyleInfo name="TableStyleMedium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EA7874-DEE9-4032-B97E-874388B55AC4}" name="expenses_3" displayName="expenses_3" ref="J1:K11" totalsRowCount="1">
  <autoFilter ref="J1:K10" xr:uid="{2A3B6B1F-E3BA-4CE0-8D25-D7AD130F2A3B}"/>
  <tableColumns count="2">
    <tableColumn id="1" xr3:uid="{6BDE4169-81FF-4A0E-AE5A-57D785002288}" name="Category" totalsRowLabel="Total"/>
    <tableColumn id="2" xr3:uid="{340A6901-99FB-4ABB-897A-F199B05413DE}" name="Total" totalsRowFunction="sum" dataDxfId="113" totalsRowDxfId="114">
      <calculatedColumnFormula>SUMIFS(operations[Amount],operations[Month],$B$11,operations[Category],expenses_3[[#This Row],[Category]])</calculatedColumnFormula>
    </tableColumn>
  </tableColumns>
  <tableStyleInfo name="TableStyleMedium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B3EFF6D-EC11-45BD-824A-8248227FAA86}" name="balance_3" displayName="balance_3" ref="A13:B17" totalsRowCount="1">
  <autoFilter ref="A13:B16" xr:uid="{32B31EB4-3FF0-4AF1-A678-A4242AB5967C}"/>
  <tableColumns count="2">
    <tableColumn id="1" xr3:uid="{207FAA41-48BB-43ED-9452-26BA4D5E0CCA}" name="Type" totalsRowLabel="Total"/>
    <tableColumn id="2" xr3:uid="{106DDE13-703A-47A4-90F4-06E290DD59E3}" name="Total" totalsRowFunction="sum" dataDxfId="111" totalsRowDxfId="112">
      <calculatedColumnFormula>SUMIFS(operations[Amount],operations[Month],$B$11,operations[Type],balance_3[[#This Row],[Type]])</calculatedColumnFormula>
    </tableColumn>
  </tableColumns>
  <tableStyleInfo name="TableStyleLight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10E59-9CB2-4CED-81DE-F158E62286C5}" name="flow_2" displayName="flow_2" ref="A1:E9" totalsRowCount="1" headerRowCellStyle="Heading 4" dataCellStyle="Heading 4" totalsRowCellStyle="Heading 4">
  <autoFilter ref="A1:E8" xr:uid="{381F1933-ED27-4BBD-BAEF-F39A6726BF59}"/>
  <tableColumns count="5">
    <tableColumn id="1" xr3:uid="{23AD37FC-6975-439A-9E27-D01366821CF5}" name="Bank" totalsRowLabel="Total" dataCellStyle="Heading 4" totalsRowCellStyle="Heading 4"/>
    <tableColumn id="2" xr3:uid="{0D0A1DCB-09A3-4297-A2F1-2D6591006A54}" name="Product" dataCellStyle="Heading 4" totalsRowCellStyle="Heading 4"/>
    <tableColumn id="3" xr3:uid="{EBD7FFC4-B154-49E0-82BC-FC57609E0A50}" name="Opening balance" totalsRowFunction="sum" dataDxfId="131" totalsRowDxfId="122" dataCellStyle="Heading 4" totalsRowCellStyle="Heading 4"/>
    <tableColumn id="4" xr3:uid="{0ACE82EE-72CE-403B-9806-2B5C907F6793}" name="Operations" totalsRowFunction="sum" dataDxfId="130" totalsRowDxfId="121" dataCellStyle="Heading 4" totalsRowCellStyle="Heading 4">
      <calculatedColumnFormula>SUMIFS(operations[Amount],operations[Bank],flow_2[[#This Row],[Bank]],operations[Product],flow_2[[#This Row],[Product]],operations[Month],$B$11)</calculatedColumnFormula>
    </tableColumn>
    <tableColumn id="5" xr3:uid="{8B6A620A-C6B2-4331-B953-77964B0FAC7E}" name="Closing balance" totalsRowFunction="sum" dataDxfId="129" totalsRowDxfId="120" dataCellStyle="Heading 4" totalsRowCellStyle="Heading 4">
      <calculatedColumnFormula>flow_2[[#This Row],[Opening balance]]+flow_2[[#This Row],[Operations]]</calculatedColumnFormula>
    </tableColumn>
  </tableColumns>
  <tableStyleInfo name="TableStyleMedium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F8C2FE-391B-467A-86DD-E1F4C52F4EED}" name="incomes_2" displayName="incomes_2" ref="G1:H8" totalsRowCount="1" headerRowCellStyle="Heading 4" dataCellStyle="Heading 4" totalsRowCellStyle="Heading 4">
  <autoFilter ref="G1:H7" xr:uid="{D29CBFC6-329D-45E3-A413-7BBD69571EA0}"/>
  <tableColumns count="2">
    <tableColumn id="1" xr3:uid="{172206FD-EDFB-4083-9D0E-46CA5BADA3DF}" name="Category" totalsRowLabel="Total" dataCellStyle="Heading 4" totalsRowCellStyle="Heading 4"/>
    <tableColumn id="2" xr3:uid="{F0E05329-4382-4DD9-AA22-234D18AC8EB1}" name="Total" totalsRowFunction="sum" dataDxfId="127" totalsRowDxfId="128" dataCellStyle="Heading 4" totalsRowCellStyle="Heading 4">
      <calculatedColumnFormula>SUMIFS(operations[Amount],operations[Month],$B$11,operations[Category],incomes_2[[#This Row],[Category]])</calculatedColumnFormula>
    </tableColumn>
  </tableColumns>
  <tableStyleInfo name="TableStyleMedium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BD4D88-5008-4D90-9D3F-CA5D6CEA6825}" name="expenses_2" displayName="expenses_2" ref="J1:K11" totalsRowCount="1">
  <autoFilter ref="J1:K10" xr:uid="{2A3B6B1F-E3BA-4CE0-8D25-D7AD130F2A3B}"/>
  <tableColumns count="2">
    <tableColumn id="1" xr3:uid="{EBA92B45-BAF0-4867-8517-315E5ECC18DD}" name="Category" totalsRowLabel="Total"/>
    <tableColumn id="2" xr3:uid="{547252B2-0CDA-4ECA-B53A-D625F06AD981}" name="Total" totalsRowFunction="sum" dataDxfId="125" totalsRowDxfId="126">
      <calculatedColumnFormula>SUMIFS(operations[Amount],operations[Month],$B$11,operations[Category],expenses_2[[#This Row],[Category]])</calculatedColumnFormula>
    </tableColumn>
  </tableColumns>
  <tableStyleInfo name="TableStyleMedium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40437B2-A594-4C8E-B69E-32A910E49E0D}" name="balance_1" displayName="balance_1" ref="A13:B17" totalsRowCount="1">
  <autoFilter ref="A13:B16" xr:uid="{32B31EB4-3FF0-4AF1-A678-A4242AB5967C}"/>
  <tableColumns count="2">
    <tableColumn id="1" xr3:uid="{2B537405-1CCB-4CAC-824C-E796328F86FC}" name="Type" totalsRowLabel="Total"/>
    <tableColumn id="2" xr3:uid="{044A7C58-F57A-4C90-8B1D-F890F15AB6CA}" name="Total" totalsRowFunction="sum" dataDxfId="123" totalsRowDxfId="124">
      <calculatedColumnFormula>SUMIFS(operations[Amount],operations[Month],$B$11,operations[Type],balance_1[[#This Row],[Type]])</calculatedColumnFormula>
    </tableColumn>
  </tableColumns>
  <tableStyleInfo name="TableStyleLight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operations" displayName="operations" ref="A1:G207" totalsRowShown="0" headerRowDxfId="152" dataDxfId="151">
  <autoFilter ref="A1:G207" xr:uid="{77EA216C-FFD9-4A05-BF08-B832A43E3520}"/>
  <tableColumns count="7">
    <tableColumn id="1" xr3:uid="{68ACE8F2-D3B7-4A07-A81C-AF60D2DE6312}" name="Amount" dataDxfId="150"/>
    <tableColumn id="2" xr3:uid="{7254576B-CAD8-4BF8-91A7-FCE7DBDF3336}" name="Bank" dataDxfId="149"/>
    <tableColumn id="3" xr3:uid="{B4A67B35-2B8C-48AF-AB70-F7C5686F9E6F}" name="Product" dataDxfId="148"/>
    <tableColumn id="4" xr3:uid="{0AA0F34C-1B3B-40BD-A2ED-C43E9ACECCE2}" name="Category" dataDxfId="147"/>
    <tableColumn id="5" xr3:uid="{B0DC3548-A9AA-420A-8564-5F10AFE241CF}" name="Type" dataDxfId="146">
      <calculatedColumnFormula>_xlfn.XLOOKUP(operations[[#This Row],[Category]],categories[Category],categories[Type],"",0,1)</calculatedColumnFormula>
    </tableColumn>
    <tableColumn id="6" xr3:uid="{2C72B247-1CFD-44D6-BDA9-F9D0BB401FA1}" name="Date" dataDxfId="145"/>
    <tableColumn id="7" xr3:uid="{4E65CCC6-D609-484D-A68A-DC8E888AFEE9}" name="Month" dataDxfId="144">
      <calculatedColumnFormula>MONTH(operations[[#This Row],[Date]])</calculatedColumnFormula>
    </tableColumn>
  </tableColumns>
  <tableStyleInfo name="TableStyleLight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categories" displayName="categories" ref="A1:B17" totalsRowShown="0">
  <autoFilter ref="A1:B17" xr:uid="{FFDBC6BC-B9BD-47EE-B2CB-AEB1438C6764}"/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157"/>
    <tableColumn id="2" xr3:uid="{0EA9F851-FCD1-470B-9F83-640CF24D733D}" name="Type"/>
  </tableColumns>
  <tableStyleInfo name="TableStyleLight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EB315-109D-E041-9DC6-18E38FB09015}" name="products" displayName="products" ref="F1:G8" totalsRowShown="0" headerRowDxfId="156" dataDxfId="155">
  <autoFilter ref="F1:G8" xr:uid="{10FEB315-109D-E041-9DC6-18E38FB09015}"/>
  <sortState xmlns:xlrd2="http://schemas.microsoft.com/office/spreadsheetml/2017/richdata2" ref="F2:G8">
    <sortCondition ref="F2:F8"/>
    <sortCondition ref="G2:G8"/>
  </sortState>
  <tableColumns count="2">
    <tableColumn id="1" xr3:uid="{6A24EE09-3EA0-E040-8F11-8EF4D848D281}" name="Bank" dataDxfId="154"/>
    <tableColumn id="2" xr3:uid="{5DC547AF-683F-2849-9609-D29B1CCE96DA}" name="Product" dataDxfId="153"/>
  </tableColumns>
  <tableStyleInfo name="TableStyleLight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1F1933-ED27-4BBD-BAEF-F39A6726BF59}" name="flow_1" displayName="flow_1" ref="A1:E9" totalsRowCount="1" headerRowCellStyle="Heading 4" dataCellStyle="Heading 4" totalsRowCellStyle="Heading 4">
  <autoFilter ref="A1:E8" xr:uid="{381F1933-ED27-4BBD-BAEF-F39A6726BF59}"/>
  <tableColumns count="5">
    <tableColumn id="1" xr3:uid="{E7E3BC2B-8E5B-4DCF-9792-9EDC6A9115F0}" name="Bank" totalsRowLabel="Total" dataCellStyle="Heading 4" totalsRowCellStyle="Heading 4"/>
    <tableColumn id="2" xr3:uid="{9BAC6843-3967-4474-904C-31C3452A0E5B}" name="Product" dataCellStyle="Heading 4" totalsRowCellStyle="Heading 4"/>
    <tableColumn id="3" xr3:uid="{16E01883-6F8E-4445-8B78-57C259DEA7CE}" name="Opening balance" totalsRowFunction="sum" dataDxfId="143" totalsRowDxfId="140" dataCellStyle="Heading 4" totalsRowCellStyle="Heading 4"/>
    <tableColumn id="4" xr3:uid="{9D1EDDB0-DB9B-4F41-B436-818BA1610106}" name="Operations" totalsRowFunction="sum" dataDxfId="142" totalsRowDxfId="139" dataCellStyle="Heading 4" totalsRowCellStyle="Heading 4">
      <calculatedColumnFormula>SUMIFS(operations[Amount],operations[Bank],flow_1[[#This Row],[Bank]],operations[Product],flow_1[[#This Row],[Product]],operations[Month],$B$11)</calculatedColumnFormula>
    </tableColumn>
    <tableColumn id="5" xr3:uid="{297DDB4B-508B-45B7-8141-92628508C809}" name="Closing balance" totalsRowFunction="sum" dataDxfId="141" totalsRowDxfId="138" dataCellStyle="Heading 4" totalsRowCellStyle="Heading 4">
      <calculatedColumnFormula>flow_1[[#This Row],[Opening balance]]+flow_1[[#This Row],[Operations]]</calculatedColumnFormula>
    </tableColumn>
  </tableColumns>
  <tableStyleInfo name="TableStyleMedium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9CBFC6-329D-45E3-A413-7BBD69571EA0}" name="incomes_1" displayName="incomes_1" ref="G1:H8" totalsRowCount="1" headerRowCellStyle="Heading 4" dataCellStyle="Heading 4" totalsRowCellStyle="Heading 4">
  <autoFilter ref="G1:H7" xr:uid="{D29CBFC6-329D-45E3-A413-7BBD69571EA0}"/>
  <tableColumns count="2">
    <tableColumn id="1" xr3:uid="{90F215AD-BB0D-461B-BB3D-1745CDE5C3A5}" name="Category" totalsRowLabel="Total" dataCellStyle="Heading 4" totalsRowCellStyle="Heading 4"/>
    <tableColumn id="2" xr3:uid="{23D1DA95-5D64-4D8C-9A0A-D3873F670E68}" name="Total" totalsRowFunction="sum" dataDxfId="137" totalsRowDxfId="134" dataCellStyle="Heading 4" totalsRowCellStyle="Heading 4">
      <calculatedColumnFormula>SUMIFS(operations[Amount],operations[Month],$B$11,operations[Category],incomes_1[[#This Row],[Category]])</calculatedColumnFormula>
    </tableColumn>
  </tableColumns>
  <tableStyleInfo name="TableStyleMedium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3B6B1F-E3BA-4CE0-8D25-D7AD130F2A3B}" name="expenses_1" displayName="expenses_1" ref="J1:K11" totalsRowCount="1">
  <autoFilter ref="J1:K10" xr:uid="{2A3B6B1F-E3BA-4CE0-8D25-D7AD130F2A3B}"/>
  <tableColumns count="2">
    <tableColumn id="1" xr3:uid="{E9250E98-10CC-4119-8C9D-4AF6DE17BA07}" name="Category" totalsRowLabel="Total"/>
    <tableColumn id="2" xr3:uid="{01CA25C2-92E4-4440-8AC8-EC2517E433DC}" name="Total" totalsRowFunction="sum" dataDxfId="132" totalsRowDxfId="133">
      <calculatedColumnFormula>SUMIFS(operations[Amount],operations[Month],$B$11,operations[Category],expenses_1[[#This Row],[Category]])</calculatedColumnFormula>
    </tableColumn>
  </tableColumns>
  <tableStyleInfo name="TableStyleMedium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B31EB4-3FF0-4AF1-A678-A4242AB5967C}" name="balance_2" displayName="balance_2" ref="A13:B17" totalsRowCount="1">
  <autoFilter ref="A13:B16" xr:uid="{32B31EB4-3FF0-4AF1-A678-A4242AB5967C}"/>
  <tableColumns count="2">
    <tableColumn id="1" xr3:uid="{70359341-E94D-43B0-90DE-7D19D1A12C52}" name="Type" totalsRowLabel="Total"/>
    <tableColumn id="2" xr3:uid="{E64C743C-C0AD-49A4-8806-312C77609F56}" name="Total" totalsRowFunction="sum" dataDxfId="136" totalsRowDxfId="135">
      <calculatedColumnFormula>SUMIFS(operations[Amount],operations[Month],$B$11,operations[Type],balance_2[[#This Row],[Type]])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4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4" Type="http://schemas.openxmlformats.org/officeDocument/2006/relationships/table" Target="../tables/table3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4" Type="http://schemas.openxmlformats.org/officeDocument/2006/relationships/table" Target="../tables/table3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Relationship Id="rId4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Relationship Id="rId4" Type="http://schemas.openxmlformats.org/officeDocument/2006/relationships/table" Target="../tables/table4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4" Type="http://schemas.openxmlformats.org/officeDocument/2006/relationships/table" Target="../tables/table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7C97-77D4-4C9A-89C2-35D2EC3A4D0A}">
  <dimension ref="A1:K17"/>
  <sheetViews>
    <sheetView zoomScaleNormal="100" workbookViewId="0">
      <selection activeCell="F4" sqref="F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cm="1">
        <f t="array" aca="1" ref="C2" ca="1">INDIRECT("flow_"&amp;$B$11-1&amp;"[@[Closing balance]]")</f>
        <v>-50</v>
      </c>
      <c r="D2" s="6">
        <f ca="1">SUMIFS(operations[Amount],operations[Bank],flow_4[[#This Row],[Bank]],operations[Product],flow_4[[#This Row],[Product]],operations[Month],$B$11)</f>
        <v>0</v>
      </c>
      <c r="E2" s="6">
        <f ca="1">flow_4[[#This Row],[Opening balance]]+flow_4[[#This Row],[Operations]]</f>
        <v>-50</v>
      </c>
      <c r="G2" s="5" t="s">
        <v>25</v>
      </c>
      <c r="H2" s="6">
        <f ca="1">SUMIFS(operations[Amount],operations[Month],$B$11,operations[Category],incomes_4[[#This Row],[Category]])</f>
        <v>0</v>
      </c>
      <c r="J2" t="s">
        <v>18</v>
      </c>
      <c r="K2" s="4">
        <f ca="1">SUMIFS(operations[Amount],operations[Month],$B$11,operations[Category],expenses_11[[#This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SUMIFS(operations[Amount],operations[Bank],flow_4[[#This Row],[Bank]],operations[Product],flow_4[[#This Row],[Product]],operations[Month],$B$11)</f>
        <v>0</v>
      </c>
      <c r="E3" s="6">
        <f ca="1">flow_4[[#This Row],[Opening balance]]+flow_4[[#This Row],[Operations]]</f>
        <v>10.5</v>
      </c>
      <c r="G3" s="5" t="s">
        <v>28</v>
      </c>
      <c r="H3" s="6">
        <f ca="1">SUMIFS(operations[Amount],operations[Month],$B$11,operations[Category],incomes_4[[#This Row],[Category]])</f>
        <v>0</v>
      </c>
      <c r="J3" t="s">
        <v>22</v>
      </c>
      <c r="K3" s="4">
        <f ca="1">SUMIFS(operations[Amount],operations[Month],$B$11,operations[Category],expenses_11[[#This Row],[Category]])</f>
        <v>-120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SUMIFS(operations[Amount],operations[Bank],flow_4[[#This Row],[Bank]],operations[Product],flow_4[[#This Row],[Product]],operations[Month],$B$11)</f>
        <v>1320</v>
      </c>
      <c r="E4" s="6">
        <f ca="1">flow_4[[#This Row],[Opening balance]]+flow_4[[#This Row],[Operations]]</f>
        <v>1920</v>
      </c>
      <c r="G4" s="5" t="s">
        <v>29</v>
      </c>
      <c r="H4" s="6">
        <f ca="1">SUMIFS(operations[Amount],operations[Month],$B$11,operations[Category],incomes_4[[#This Row],[Category]])</f>
        <v>2000</v>
      </c>
      <c r="J4" t="s">
        <v>20</v>
      </c>
      <c r="K4" s="4">
        <f ca="1">SUMIFS(operations[Amount],operations[Month],$B$11,operations[Category],expenses_11[[#This Row],[Category]])</f>
        <v>-450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SUMIFS(operations[Amount],operations[Bank],flow_4[[#This Row],[Bank]],operations[Product],flow_4[[#This Row],[Product]],operations[Month],$B$11)</f>
        <v>0</v>
      </c>
      <c r="E5" s="6">
        <f ca="1">flow_4[[#This Row],[Opening balance]]+flow_4[[#This Row],[Operations]]</f>
        <v>0</v>
      </c>
      <c r="G5" s="5" t="s">
        <v>30</v>
      </c>
      <c r="H5" s="6">
        <f ca="1">SUMIFS(operations[Amount],operations[Month],$B$11,operations[Category],incomes_4[[#This Row],[Category]])</f>
        <v>0</v>
      </c>
      <c r="J5" t="s">
        <v>17</v>
      </c>
      <c r="K5" s="4">
        <f ca="1">SUMIFS(operations[Amount],operations[Month],$B$11,operations[Category],expenses_11[[#This Row],[Category]])</f>
        <v>-700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SUMIFS(operations[Amount],operations[Bank],flow_4[[#This Row],[Bank]],operations[Product],flow_4[[#This Row],[Product]],operations[Month],$B$11)</f>
        <v>0</v>
      </c>
      <c r="E6" s="6">
        <f ca="1">flow_4[[#This Row],[Opening balance]]+flow_4[[#This Row],[Operations]]</f>
        <v>2000</v>
      </c>
      <c r="G6" s="5" t="s">
        <v>26</v>
      </c>
      <c r="H6" s="6">
        <f ca="1">SUMIFS(operations[Amount],operations[Month],$B$11,operations[Category],incomes_4[[#This Row],[Category]])</f>
        <v>4500</v>
      </c>
      <c r="J6" t="s">
        <v>21</v>
      </c>
      <c r="K6" s="4">
        <f ca="1">SUMIFS(operations[Amount],operations[Month],$B$11,operations[Category],expenses_11[[#This Row],[Category]])</f>
        <v>-10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SUMIFS(operations[Amount],operations[Bank],flow_4[[#This Row],[Bank]],operations[Product],flow_4[[#This Row],[Product]],operations[Month],$B$11)</f>
        <v>0</v>
      </c>
      <c r="E7" s="6">
        <f ca="1">flow_4[[#This Row],[Opening balance]]+flow_4[[#This Row],[Operations]]</f>
        <v>200</v>
      </c>
      <c r="G7" s="5" t="s">
        <v>27</v>
      </c>
      <c r="H7" s="6">
        <f ca="1">SUMIFS(operations[Amount],operations[Month],$B$11,operations[Category],incomes_4[[#This Row],[Category]])</f>
        <v>0</v>
      </c>
      <c r="J7" t="s">
        <v>19</v>
      </c>
      <c r="K7" s="4">
        <f ca="1">SUMIFS(operations[Amount],operations[Month],$B$11,operations[Category],expenses_11[[#This Row],[Category]])</f>
        <v>0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SUMIFS(operations[Amount],operations[Bank],flow_4[[#This Row],[Bank]],operations[Product],flow_4[[#This Row],[Product]],operations[Month],$B$11)</f>
        <v>1100</v>
      </c>
      <c r="E8" s="6">
        <f ca="1">flow_4[[#This Row],[Opening balance]]+flow_4[[#This Row],[Operations]]</f>
        <v>1130</v>
      </c>
      <c r="G8" s="5" t="s">
        <v>38</v>
      </c>
      <c r="H8" s="6">
        <f ca="1">SUBTOTAL(109,incomes_4[Total])</f>
        <v>6500</v>
      </c>
      <c r="J8" t="s">
        <v>24</v>
      </c>
      <c r="K8" s="4">
        <f ca="1">SUMIFS(operations[Amount],operations[Month],$B$11,operations[Category],expenses_11[[#This Row],[Category]])</f>
        <v>-700</v>
      </c>
    </row>
    <row r="9" spans="1:11" x14ac:dyDescent="0.25">
      <c r="A9" s="5" t="s">
        <v>38</v>
      </c>
      <c r="B9" s="5"/>
      <c r="C9" s="6">
        <f ca="1">SUBTOTAL(109,flow_4[Opening balance])</f>
        <v>2790.5</v>
      </c>
      <c r="D9" s="6">
        <f ca="1">SUBTOTAL(109,flow_4[Operations])</f>
        <v>2420</v>
      </c>
      <c r="E9" s="6">
        <f ca="1">SUBTOTAL(109,flow_4[Closing balance])</f>
        <v>5210.5</v>
      </c>
      <c r="J9" t="s">
        <v>23</v>
      </c>
      <c r="K9" s="4">
        <f ca="1">SUMIFS(operations[Amount],operations[Month],$B$11,operations[Category],expenses_11[[#This Row],[Category]])</f>
        <v>-100</v>
      </c>
    </row>
    <row r="10" spans="1:11" x14ac:dyDescent="0.25">
      <c r="J10" t="s">
        <v>16</v>
      </c>
      <c r="K10" s="4">
        <f ca="1">SUMIFS(operations[Amount],operations[Month],$B$11,operations[Category],expenses_11[[#This Row],[Category]])</f>
        <v>0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12</v>
      </c>
      <c r="C11" s="8" t="str" cm="1">
        <f t="array" aca="1" ref="C11" ca="1">RIGHT(CELL("filename",A1),LEN(CELL("filename",A1))-FIND("]",CELL("filename",A1)))</f>
        <v>12</v>
      </c>
      <c r="J11" t="s">
        <v>38</v>
      </c>
      <c r="K11" s="4">
        <f ca="1">SUBTOTAL(109,expenses_11[Total])</f>
        <v>-4080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SUMIFS(operations[Amount],operations[Month],$B$11,operations[Type],balance_12[[#This Row],[Type]])</f>
        <v>-4080</v>
      </c>
    </row>
    <row r="15" spans="1:11" x14ac:dyDescent="0.25">
      <c r="A15" t="s">
        <v>33</v>
      </c>
      <c r="B15" s="4">
        <f ca="1">SUMIFS(operations[Amount],operations[Month],$B$11,operations[Type],balance_12[[#This Row],[Type]])</f>
        <v>6500</v>
      </c>
    </row>
    <row r="16" spans="1:11" x14ac:dyDescent="0.25">
      <c r="A16" t="s">
        <v>34</v>
      </c>
      <c r="B16" s="4">
        <f ca="1">SUMIFS(operations[Amount],operations[Month],$B$11,operations[Type],balance_12[[#This Row],[Type]])</f>
        <v>0</v>
      </c>
    </row>
    <row r="17" spans="1:2" x14ac:dyDescent="0.25">
      <c r="A17" t="s">
        <v>38</v>
      </c>
      <c r="B17" s="4">
        <f ca="1">SUBTOTAL(109,balance_12[Total])</f>
        <v>2420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05DF-B69D-41C6-8AD7-4B224EC32491}">
  <dimension ref="A1:K17"/>
  <sheetViews>
    <sheetView zoomScaleNormal="100" workbookViewId="0">
      <selection activeCell="F4" sqref="F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t="e" cm="1">
        <f t="array" aca="1" ref="C2" ca="1">INDIRECT("flow_"&amp;$B$11-1&amp;"[@[Closing balance]]")</f>
        <v>#REF!</v>
      </c>
      <c r="D2" s="6">
        <f ca="1">SUMIFS(operations[Amount],operations[Bank],flow_5[[#This Row],[Bank]],operations[Product],flow_5[[#This Row],[Product]],operations[Month],$B$11)</f>
        <v>0</v>
      </c>
      <c r="E2" s="6" t="e">
        <f ca="1">flow_5[[#This Row],[Opening balance]]+flow_5[[#This Row],[Operations]]</f>
        <v>#REF!</v>
      </c>
      <c r="G2" s="5" t="s">
        <v>25</v>
      </c>
      <c r="H2" s="6">
        <f ca="1">SUMIFS(operations[Amount],operations[Month],$B$11,operations[Category],incomes_5[[#This Row],[Category]])</f>
        <v>0</v>
      </c>
      <c r="J2" t="s">
        <v>18</v>
      </c>
      <c r="K2" s="4">
        <f ca="1">SUMIFS(operations[Amount],operations[Month],$B$11,operations[Category],expenses_12[[#This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SUMIFS(operations[Amount],operations[Bank],flow_5[[#This Row],[Bank]],operations[Product],flow_5[[#This Row],[Product]],operations[Month],$B$11)</f>
        <v>0</v>
      </c>
      <c r="E3" s="6">
        <f ca="1">flow_5[[#This Row],[Opening balance]]+flow_5[[#This Row],[Operations]]</f>
        <v>10.5</v>
      </c>
      <c r="G3" s="5" t="s">
        <v>28</v>
      </c>
      <c r="H3" s="6">
        <f ca="1">SUMIFS(operations[Amount],operations[Month],$B$11,operations[Category],incomes_5[[#This Row],[Category]])</f>
        <v>0</v>
      </c>
      <c r="J3" t="s">
        <v>22</v>
      </c>
      <c r="K3" s="4">
        <f ca="1">SUMIFS(operations[Amount],operations[Month],$B$11,operations[Category],expenses_12[[#This Row],[Category]])</f>
        <v>-158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SUMIFS(operations[Amount],operations[Bank],flow_5[[#This Row],[Bank]],operations[Product],flow_5[[#This Row],[Product]],operations[Month],$B$11)</f>
        <v>960</v>
      </c>
      <c r="E4" s="6">
        <f ca="1">flow_5[[#This Row],[Opening balance]]+flow_5[[#This Row],[Operations]]</f>
        <v>1560</v>
      </c>
      <c r="G4" s="5" t="s">
        <v>29</v>
      </c>
      <c r="H4" s="6">
        <f ca="1">SUMIFS(operations[Amount],operations[Month],$B$11,operations[Category],incomes_5[[#This Row],[Category]])</f>
        <v>400</v>
      </c>
      <c r="J4" t="s">
        <v>20</v>
      </c>
      <c r="K4" s="4">
        <f ca="1">SUMIFS(operations[Amount],operations[Month],$B$11,operations[Category],expenses_12[[#This Row],[Category]])</f>
        <v>-214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SUMIFS(operations[Amount],operations[Bank],flow_5[[#This Row],[Bank]],operations[Product],flow_5[[#This Row],[Product]],operations[Month],$B$11)</f>
        <v>40</v>
      </c>
      <c r="E5" s="6">
        <f ca="1">flow_5[[#This Row],[Opening balance]]+flow_5[[#This Row],[Operations]]</f>
        <v>40</v>
      </c>
      <c r="G5" s="5" t="s">
        <v>30</v>
      </c>
      <c r="H5" s="6">
        <f ca="1">SUMIFS(operations[Amount],operations[Month],$B$11,operations[Category],incomes_5[[#This Row],[Category]])</f>
        <v>0</v>
      </c>
      <c r="J5" t="s">
        <v>17</v>
      </c>
      <c r="K5" s="4">
        <f ca="1">SUMIFS(operations[Amount],operations[Month],$B$11,operations[Category],expenses_12[[#This Row],[Category]])</f>
        <v>-506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SUMIFS(operations[Amount],operations[Bank],flow_5[[#This Row],[Bank]],operations[Product],flow_5[[#This Row],[Product]],operations[Month],$B$11)</f>
        <v>0</v>
      </c>
      <c r="E6" s="6">
        <f ca="1">flow_5[[#This Row],[Opening balance]]+flow_5[[#This Row],[Operations]]</f>
        <v>2000</v>
      </c>
      <c r="G6" s="5" t="s">
        <v>26</v>
      </c>
      <c r="H6" s="6">
        <f ca="1">SUMIFS(operations[Amount],operations[Month],$B$11,operations[Category],incomes_5[[#This Row],[Category]])</f>
        <v>4500</v>
      </c>
      <c r="J6" t="s">
        <v>21</v>
      </c>
      <c r="K6" s="4">
        <f ca="1">SUMIFS(operations[Amount],operations[Month],$B$11,operations[Category],expenses_12[[#This Row],[Category]])</f>
        <v>-133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SUMIFS(operations[Amount],operations[Bank],flow_5[[#This Row],[Bank]],operations[Product],flow_5[[#This Row],[Product]],operations[Month],$B$11)</f>
        <v>0</v>
      </c>
      <c r="E7" s="6">
        <f ca="1">flow_5[[#This Row],[Opening balance]]+flow_5[[#This Row],[Operations]]</f>
        <v>200</v>
      </c>
      <c r="G7" s="5" t="s">
        <v>27</v>
      </c>
      <c r="H7" s="6">
        <f ca="1">SUMIFS(operations[Amount],operations[Month],$B$11,operations[Category],incomes_5[[#This Row],[Category]])</f>
        <v>0</v>
      </c>
      <c r="J7" t="s">
        <v>19</v>
      </c>
      <c r="K7" s="4">
        <f ca="1">SUMIFS(operations[Amount],operations[Month],$B$11,operations[Category],expenses_12[[#This Row],[Category]])</f>
        <v>-47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SUMIFS(operations[Amount],operations[Bank],flow_5[[#This Row],[Bank]],operations[Product],flow_5[[#This Row],[Product]],operations[Month],$B$11)</f>
        <v>400</v>
      </c>
      <c r="E8" s="6">
        <f ca="1">flow_5[[#This Row],[Opening balance]]+flow_5[[#This Row],[Operations]]</f>
        <v>430</v>
      </c>
      <c r="G8" s="5" t="s">
        <v>38</v>
      </c>
      <c r="H8" s="6">
        <f ca="1">SUBTOTAL(109,incomes_5[Total])</f>
        <v>4900</v>
      </c>
      <c r="J8" t="s">
        <v>24</v>
      </c>
      <c r="K8" s="4">
        <f ca="1">SUMIFS(operations[Amount],operations[Month],$B$11,operations[Category],expenses_12[[#This Row],[Category]])</f>
        <v>-234</v>
      </c>
    </row>
    <row r="9" spans="1:11" x14ac:dyDescent="0.25">
      <c r="A9" s="5" t="s">
        <v>38</v>
      </c>
      <c r="B9" s="5"/>
      <c r="C9" s="6" t="e">
        <f ca="1">SUBTOTAL(109,flow_5[Opening balance])</f>
        <v>#REF!</v>
      </c>
      <c r="D9" s="6">
        <f ca="1">SUBTOTAL(109,flow_5[Operations])</f>
        <v>1400</v>
      </c>
      <c r="E9" s="6" t="e">
        <f ca="1">SUBTOTAL(109,flow_5[Closing balance])</f>
        <v>#REF!</v>
      </c>
      <c r="J9" t="s">
        <v>23</v>
      </c>
      <c r="K9" s="4">
        <f ca="1">SUMIFS(operations[Amount],operations[Month],$B$11,operations[Category],expenses_12[[#This Row],[Category]])</f>
        <v>0</v>
      </c>
    </row>
    <row r="10" spans="1:11" x14ac:dyDescent="0.25">
      <c r="J10" t="s">
        <v>16</v>
      </c>
      <c r="K10" s="4">
        <f ca="1">SUMIFS(operations[Amount],operations[Month],$B$11,operations[Category],expenses_12[[#This Row],[Category]])</f>
        <v>-208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11</v>
      </c>
      <c r="C11" s="8" t="str" cm="1">
        <f t="array" aca="1" ref="C11" ca="1">RIGHT(CELL("filename",A1),LEN(CELL("filename",A1))-FIND("]",CELL("filename",A1)))</f>
        <v>11</v>
      </c>
      <c r="J11" t="s">
        <v>38</v>
      </c>
      <c r="K11" s="4">
        <f ca="1">SUBTOTAL(109,expenses_12[Total])</f>
        <v>-3500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SUMIFS(operations[Amount],operations[Month],$B$11,operations[Type],balance_9[[#This Row],[Type]])</f>
        <v>-3500</v>
      </c>
    </row>
    <row r="15" spans="1:11" x14ac:dyDescent="0.25">
      <c r="A15" t="s">
        <v>33</v>
      </c>
      <c r="B15" s="4">
        <f ca="1">SUMIFS(operations[Amount],operations[Month],$B$11,operations[Type],balance_9[[#This Row],[Type]])</f>
        <v>4900</v>
      </c>
    </row>
    <row r="16" spans="1:11" x14ac:dyDescent="0.25">
      <c r="A16" t="s">
        <v>34</v>
      </c>
      <c r="B16" s="4">
        <f ca="1">SUMIFS(operations[Amount],operations[Month],$B$11,operations[Type],balance_9[[#This Row],[Type]])</f>
        <v>0</v>
      </c>
    </row>
    <row r="17" spans="1:2" x14ac:dyDescent="0.25">
      <c r="A17" t="s">
        <v>38</v>
      </c>
      <c r="B17" s="4">
        <f ca="1">SUBTOTAL(109,balance_9[Total])</f>
        <v>1400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B1D5-4060-40BF-91B2-64A6E9200BAE}">
  <dimension ref="A1:K17"/>
  <sheetViews>
    <sheetView zoomScaleNormal="100" workbookViewId="0">
      <selection activeCell="E21" sqref="E21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cm="1">
        <f t="array" aca="1" ref="C2" ca="1">INDIRECT("flow_"&amp;$B$11-1&amp;"[@[Closing balance]]")</f>
        <v>0</v>
      </c>
      <c r="D2" s="6">
        <f ca="1">SUMIFS(operations[Amount],operations[Bank],flow_6[[#This Row],[Bank]],operations[Product],flow_6[[#This Row],[Product]],operations[Month],$B$11)</f>
        <v>0</v>
      </c>
      <c r="E2" s="6" t="e">
        <f ca="1">flow_6[[#This Row],[Opening balance]]+flow_6[[#This Row],[Operations]]</f>
        <v>#REF!</v>
      </c>
      <c r="G2" s="5" t="s">
        <v>25</v>
      </c>
      <c r="H2" s="6">
        <f ca="1">SUMIFS(operations[Amount],operations[Month],$B$11,operations[Category],incomes_6[[#This Row],[Category]])</f>
        <v>0</v>
      </c>
      <c r="J2" t="s">
        <v>18</v>
      </c>
      <c r="K2" s="4">
        <f ca="1">SUMIFS(operations[Amount],operations[Month],$B$11,operations[Category],expenses_10[[#This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SUMIFS(operations[Amount],operations[Bank],flow_6[[#This Row],[Bank]],operations[Product],flow_6[[#This Row],[Product]],operations[Month],$B$11)</f>
        <v>0</v>
      </c>
      <c r="E3" s="6">
        <f ca="1">flow_6[[#This Row],[Opening balance]]+flow_6[[#This Row],[Operations]]</f>
        <v>10.5</v>
      </c>
      <c r="G3" s="5" t="s">
        <v>28</v>
      </c>
      <c r="H3" s="6">
        <f ca="1">SUMIFS(operations[Amount],operations[Month],$B$11,operations[Category],incomes_6[[#This Row],[Category]])</f>
        <v>0</v>
      </c>
      <c r="J3" t="s">
        <v>22</v>
      </c>
      <c r="K3" s="4">
        <f ca="1">SUMIFS(operations[Amount],operations[Month],$B$11,operations[Category],expenses_10[[#This Row],[Category]])</f>
        <v>0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SUMIFS(operations[Amount],operations[Bank],flow_6[[#This Row],[Bank]],operations[Product],flow_6[[#This Row],[Product]],operations[Month],$B$11)</f>
        <v>1690</v>
      </c>
      <c r="E4" s="6">
        <f ca="1">flow_6[[#This Row],[Opening balance]]+flow_6[[#This Row],[Operations]]</f>
        <v>2290</v>
      </c>
      <c r="G4" s="5" t="s">
        <v>29</v>
      </c>
      <c r="H4" s="6">
        <f ca="1">SUMIFS(operations[Amount],operations[Month],$B$11,operations[Category],incomes_6[[#This Row],[Category]])</f>
        <v>0</v>
      </c>
      <c r="J4" t="s">
        <v>20</v>
      </c>
      <c r="K4" s="4">
        <f ca="1">SUMIFS(operations[Amount],operations[Month],$B$11,operations[Category],expenses_10[[#This Row],[Category]])</f>
        <v>-40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SUMIFS(operations[Amount],operations[Bank],flow_6[[#This Row],[Bank]],operations[Product],flow_6[[#This Row],[Product]],operations[Month],$B$11)</f>
        <v>-20</v>
      </c>
      <c r="E5" s="6">
        <f ca="1">flow_6[[#This Row],[Opening balance]]+flow_6[[#This Row],[Operations]]</f>
        <v>-20</v>
      </c>
      <c r="G5" s="5" t="s">
        <v>30</v>
      </c>
      <c r="H5" s="6">
        <f ca="1">SUMIFS(operations[Amount],operations[Month],$B$11,operations[Category],incomes_6[[#This Row],[Category]])</f>
        <v>0</v>
      </c>
      <c r="J5" t="s">
        <v>17</v>
      </c>
      <c r="K5" s="4">
        <f ca="1">SUMIFS(operations[Amount],operations[Month],$B$11,operations[Category],expenses_10[[#This Row],[Category]])</f>
        <v>-600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SUMIFS(operations[Amount],operations[Bank],flow_6[[#This Row],[Bank]],operations[Product],flow_6[[#This Row],[Product]],operations[Month],$B$11)</f>
        <v>0</v>
      </c>
      <c r="E6" s="6">
        <f ca="1">flow_6[[#This Row],[Opening balance]]+flow_6[[#This Row],[Operations]]</f>
        <v>2000</v>
      </c>
      <c r="G6" s="5" t="s">
        <v>26</v>
      </c>
      <c r="H6" s="6">
        <f ca="1">SUMIFS(operations[Amount],operations[Month],$B$11,operations[Category],incomes_6[[#This Row],[Category]])</f>
        <v>4500</v>
      </c>
      <c r="J6" t="s">
        <v>21</v>
      </c>
      <c r="K6" s="4">
        <f ca="1">SUMIFS(operations[Amount],operations[Month],$B$11,operations[Category],expenses_10[[#This Row],[Category]])</f>
        <v>0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SUMIFS(operations[Amount],operations[Bank],flow_6[[#This Row],[Bank]],operations[Product],flow_6[[#This Row],[Product]],operations[Month],$B$11)</f>
        <v>0</v>
      </c>
      <c r="E7" s="6">
        <f ca="1">flow_6[[#This Row],[Opening balance]]+flow_6[[#This Row],[Operations]]</f>
        <v>200</v>
      </c>
      <c r="G7" s="5" t="s">
        <v>27</v>
      </c>
      <c r="H7" s="6">
        <f ca="1">SUMIFS(operations[Amount],operations[Month],$B$11,operations[Category],incomes_6[[#This Row],[Category]])</f>
        <v>0</v>
      </c>
      <c r="J7" t="s">
        <v>19</v>
      </c>
      <c r="K7" s="4">
        <f ca="1">SUMIFS(operations[Amount],operations[Month],$B$11,operations[Category],expenses_10[[#This Row],[Category]])</f>
        <v>-40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SUMIFS(operations[Amount],operations[Bank],flow_6[[#This Row],[Bank]],operations[Product],flow_6[[#This Row],[Product]],operations[Month],$B$11)</f>
        <v>0</v>
      </c>
      <c r="E8" s="6">
        <f ca="1">flow_6[[#This Row],[Opening balance]]+flow_6[[#This Row],[Operations]]</f>
        <v>30</v>
      </c>
      <c r="G8" s="5" t="s">
        <v>38</v>
      </c>
      <c r="H8" s="6">
        <f ca="1">SUBTOTAL(109,incomes_6[Total])</f>
        <v>4500</v>
      </c>
      <c r="J8" t="s">
        <v>24</v>
      </c>
      <c r="K8" s="4">
        <f ca="1">SUMIFS(operations[Amount],operations[Month],$B$11,operations[Category],expenses_10[[#This Row],[Category]])</f>
        <v>0</v>
      </c>
    </row>
    <row r="9" spans="1:11" x14ac:dyDescent="0.25">
      <c r="A9" s="5" t="s">
        <v>38</v>
      </c>
      <c r="B9" s="5"/>
      <c r="C9" s="6" t="e">
        <f ca="1">SUBTOTAL(109,flow_6[Opening balance])</f>
        <v>#REF!</v>
      </c>
      <c r="D9" s="6">
        <f ca="1">SUBTOTAL(109,flow_6[Operations])</f>
        <v>1670</v>
      </c>
      <c r="E9" s="6" t="e">
        <f ca="1">SUBTOTAL(109,flow_6[Closing balance])</f>
        <v>#REF!</v>
      </c>
      <c r="J9" t="s">
        <v>23</v>
      </c>
      <c r="K9" s="4">
        <f ca="1">SUMIFS(operations[Amount],operations[Month],$B$11,operations[Category],expenses_10[[#This Row],[Category]])</f>
        <v>0</v>
      </c>
    </row>
    <row r="10" spans="1:11" x14ac:dyDescent="0.25">
      <c r="J10" t="s">
        <v>16</v>
      </c>
      <c r="K10" s="4">
        <f ca="1">SUMIFS(operations[Amount],operations[Month],$B$11,operations[Category],expenses_10[[#This Row],[Category]])</f>
        <v>-150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10</v>
      </c>
      <c r="C11" s="8" t="str" cm="1">
        <f t="array" aca="1" ref="C11" ca="1">RIGHT(CELL("filename",A1),LEN(CELL("filename",A1))-FIND("]",CELL("filename",A1)))</f>
        <v>10</v>
      </c>
      <c r="J11" t="s">
        <v>38</v>
      </c>
      <c r="K11" s="4">
        <f ca="1">SUBTOTAL(109,expenses_10[Total])</f>
        <v>-2830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SUMIFS(operations[Amount],operations[Month],$B$11,operations[Type],balance_8[[#This Row],[Type]])</f>
        <v>-2830</v>
      </c>
    </row>
    <row r="15" spans="1:11" x14ac:dyDescent="0.25">
      <c r="A15" t="s">
        <v>33</v>
      </c>
      <c r="B15" s="4">
        <f ca="1">SUMIFS(operations[Amount],operations[Month],$B$11,operations[Type],balance_8[[#This Row],[Type]])</f>
        <v>4500</v>
      </c>
    </row>
    <row r="16" spans="1:11" x14ac:dyDescent="0.25">
      <c r="A16" t="s">
        <v>34</v>
      </c>
      <c r="B16" s="4">
        <f ca="1">SUMIFS(operations[Amount],operations[Month],$B$11,operations[Type],balance_8[[#This Row],[Type]])</f>
        <v>0</v>
      </c>
    </row>
    <row r="17" spans="1:2" x14ac:dyDescent="0.25">
      <c r="A17" t="s">
        <v>38</v>
      </c>
      <c r="B17" s="4">
        <f ca="1">SUBTOTAL(109,balance_8[Total])</f>
        <v>1670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58E2-9560-463D-86EB-62CABC6EB55A}">
  <dimension ref="A1:K17"/>
  <sheetViews>
    <sheetView zoomScaleNormal="100" workbookViewId="0">
      <selection activeCell="F4" sqref="F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t="e" cm="1">
        <f t="array" aca="1" ref="C2" ca="1">INDIRECT("flow_"&amp;$B$11-1&amp;"[@[Closing balance]]")</f>
        <v>#REF!</v>
      </c>
      <c r="D2" s="6">
        <f ca="1">SUMIFS(operations[Amount],operations[Bank],flow_7[[#This Row],[Bank]],operations[Product],flow_7[[#This Row],[Product]],operations[Month],$B$11)</f>
        <v>-20</v>
      </c>
      <c r="E2" s="6" t="e">
        <f ca="1">flow_7[[#This Row],[Opening balance]]+flow_7[[#This Row],[Operations]]</f>
        <v>#REF!</v>
      </c>
      <c r="G2" s="5" t="s">
        <v>25</v>
      </c>
      <c r="H2" s="6">
        <f ca="1">SUMIFS(operations[Amount],operations[Month],$B$11,operations[Category],incomes_7[[#This Row],[Category]])</f>
        <v>0</v>
      </c>
      <c r="J2" t="s">
        <v>18</v>
      </c>
      <c r="K2" s="4">
        <f ca="1">SUMIFS(operations[Amount],operations[Month],$B$11,operations[Category],expenses_9[[#This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SUMIFS(operations[Amount],operations[Bank],flow_7[[#This Row],[Bank]],operations[Product],flow_7[[#This Row],[Product]],operations[Month],$B$11)</f>
        <v>0</v>
      </c>
      <c r="E3" s="6">
        <f ca="1">flow_7[[#This Row],[Opening balance]]+flow_7[[#This Row],[Operations]]</f>
        <v>10.5</v>
      </c>
      <c r="G3" s="5" t="s">
        <v>28</v>
      </c>
      <c r="H3" s="6">
        <f ca="1">SUMIFS(operations[Amount],operations[Month],$B$11,operations[Category],incomes_7[[#This Row],[Category]])</f>
        <v>0</v>
      </c>
      <c r="J3" t="s">
        <v>22</v>
      </c>
      <c r="K3" s="4">
        <f ca="1">SUMIFS(operations[Amount],operations[Month],$B$11,operations[Category],expenses_9[[#This Row],[Category]])</f>
        <v>0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SUMIFS(operations[Amount],operations[Bank],flow_7[[#This Row],[Bank]],operations[Product],flow_7[[#This Row],[Product]],operations[Month],$B$11)</f>
        <v>1689.5</v>
      </c>
      <c r="E4" s="6">
        <f ca="1">flow_7[[#This Row],[Opening balance]]+flow_7[[#This Row],[Operations]]</f>
        <v>2289.5</v>
      </c>
      <c r="G4" s="5" t="s">
        <v>29</v>
      </c>
      <c r="H4" s="6">
        <f ca="1">SUMIFS(operations[Amount],operations[Month],$B$11,operations[Category],incomes_7[[#This Row],[Category]])</f>
        <v>0</v>
      </c>
      <c r="J4" t="s">
        <v>20</v>
      </c>
      <c r="K4" s="4">
        <f ca="1">SUMIFS(operations[Amount],operations[Month],$B$11,operations[Category],expenses_9[[#This Row],[Category]])</f>
        <v>-20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SUMIFS(operations[Amount],operations[Bank],flow_7[[#This Row],[Bank]],operations[Product],flow_7[[#This Row],[Product]],operations[Month],$B$11)</f>
        <v>82</v>
      </c>
      <c r="E5" s="6">
        <f ca="1">flow_7[[#This Row],[Opening balance]]+flow_7[[#This Row],[Operations]]</f>
        <v>82</v>
      </c>
      <c r="G5" s="5" t="s">
        <v>30</v>
      </c>
      <c r="H5" s="6">
        <f ca="1">SUMIFS(operations[Amount],operations[Month],$B$11,operations[Category],incomes_7[[#This Row],[Category]])</f>
        <v>0</v>
      </c>
      <c r="J5" t="s">
        <v>17</v>
      </c>
      <c r="K5" s="4">
        <f ca="1">SUMIFS(operations[Amount],operations[Month],$B$11,operations[Category],expenses_9[[#This Row],[Category]])</f>
        <v>-538.5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SUMIFS(operations[Amount],operations[Bank],flow_7[[#This Row],[Bank]],operations[Product],flow_7[[#This Row],[Product]],operations[Month],$B$11)</f>
        <v>0</v>
      </c>
      <c r="E6" s="6">
        <f ca="1">flow_7[[#This Row],[Opening balance]]+flow_7[[#This Row],[Operations]]</f>
        <v>2000</v>
      </c>
      <c r="G6" s="5" t="s">
        <v>26</v>
      </c>
      <c r="H6" s="6">
        <f ca="1">SUMIFS(operations[Amount],operations[Month],$B$11,operations[Category],incomes_7[[#This Row],[Category]])</f>
        <v>4500</v>
      </c>
      <c r="J6" t="s">
        <v>21</v>
      </c>
      <c r="K6" s="4">
        <f ca="1">SUMIFS(operations[Amount],operations[Month],$B$11,operations[Category],expenses_9[[#This Row],[Category]])</f>
        <v>0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SUMIFS(operations[Amount],operations[Bank],flow_7[[#This Row],[Bank]],operations[Product],flow_7[[#This Row],[Product]],operations[Month],$B$11)</f>
        <v>0</v>
      </c>
      <c r="E7" s="6">
        <f ca="1">flow_7[[#This Row],[Opening balance]]+flow_7[[#This Row],[Operations]]</f>
        <v>200</v>
      </c>
      <c r="G7" s="5" t="s">
        <v>27</v>
      </c>
      <c r="H7" s="6">
        <f ca="1">SUMIFS(operations[Amount],operations[Month],$B$11,operations[Category],incomes_7[[#This Row],[Category]])</f>
        <v>0</v>
      </c>
      <c r="J7" t="s">
        <v>19</v>
      </c>
      <c r="K7" s="4">
        <f ca="1">SUMIFS(operations[Amount],operations[Month],$B$11,operations[Category],expenses_9[[#This Row],[Category]])</f>
        <v>-40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SUMIFS(operations[Amount],operations[Bank],flow_7[[#This Row],[Bank]],operations[Product],flow_7[[#This Row],[Product]],operations[Month],$B$11)</f>
        <v>0</v>
      </c>
      <c r="E8" s="6">
        <f ca="1">flow_7[[#This Row],[Opening balance]]+flow_7[[#This Row],[Operations]]</f>
        <v>30</v>
      </c>
      <c r="G8" s="5" t="s">
        <v>38</v>
      </c>
      <c r="H8" s="6">
        <f ca="1">SUBTOTAL(109,incomes_7[Total])</f>
        <v>4500</v>
      </c>
      <c r="J8" t="s">
        <v>24</v>
      </c>
      <c r="K8" s="4">
        <f ca="1">SUMIFS(operations[Amount],operations[Month],$B$11,operations[Category],expenses_9[[#This Row],[Category]])</f>
        <v>0</v>
      </c>
    </row>
    <row r="9" spans="1:11" x14ac:dyDescent="0.25">
      <c r="A9" s="5" t="s">
        <v>38</v>
      </c>
      <c r="B9" s="5"/>
      <c r="C9" s="6" t="e">
        <f ca="1">SUBTOTAL(109,flow_7[Opening balance])</f>
        <v>#REF!</v>
      </c>
      <c r="D9" s="6">
        <f ca="1">SUBTOTAL(109,flow_7[Operations])</f>
        <v>1751.5</v>
      </c>
      <c r="E9" s="6" t="e">
        <f ca="1">SUBTOTAL(109,flow_7[Closing balance])</f>
        <v>#REF!</v>
      </c>
      <c r="J9" t="s">
        <v>23</v>
      </c>
      <c r="K9" s="4">
        <f ca="1">SUMIFS(operations[Amount],operations[Month],$B$11,operations[Category],expenses_9[[#This Row],[Category]])</f>
        <v>0</v>
      </c>
    </row>
    <row r="10" spans="1:11" x14ac:dyDescent="0.25">
      <c r="J10" t="s">
        <v>16</v>
      </c>
      <c r="K10" s="4">
        <f ca="1">SUMIFS(operations[Amount],operations[Month],$B$11,operations[Category],expenses_9[[#This Row],[Category]])</f>
        <v>-150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9</v>
      </c>
      <c r="C11" s="8" t="str" cm="1">
        <f t="array" aca="1" ref="C11" ca="1">RIGHT(CELL("filename",A1),LEN(CELL("filename",A1))-FIND("]",CELL("filename",A1)))</f>
        <v>9</v>
      </c>
      <c r="J11" t="s">
        <v>38</v>
      </c>
      <c r="K11" s="4">
        <f ca="1">SUBTOTAL(109,expenses_9[Total])</f>
        <v>-2748.5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SUMIFS(operations[Amount],operations[Month],$B$11,operations[Type],balance_7[[#This Row],[Type]])</f>
        <v>-2748.5</v>
      </c>
    </row>
    <row r="15" spans="1:11" x14ac:dyDescent="0.25">
      <c r="A15" t="s">
        <v>33</v>
      </c>
      <c r="B15" s="4">
        <f ca="1">SUMIFS(operations[Amount],operations[Month],$B$11,operations[Type],balance_7[[#This Row],[Type]])</f>
        <v>4500</v>
      </c>
    </row>
    <row r="16" spans="1:11" x14ac:dyDescent="0.25">
      <c r="A16" t="s">
        <v>34</v>
      </c>
      <c r="B16" s="4">
        <f ca="1">SUMIFS(operations[Amount],operations[Month],$B$11,operations[Type],balance_7[[#This Row],[Type]])</f>
        <v>0</v>
      </c>
    </row>
    <row r="17" spans="1:2" x14ac:dyDescent="0.25">
      <c r="A17" t="s">
        <v>38</v>
      </c>
      <c r="B17" s="4">
        <f ca="1">SUBTOTAL(109,balance_7[Total])</f>
        <v>1751.5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2ECA-E2F5-418A-94FC-A03C0A004F70}">
  <dimension ref="A1:K17"/>
  <sheetViews>
    <sheetView zoomScaleNormal="100" workbookViewId="0">
      <selection activeCell="F4" sqref="F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t="e" cm="1">
        <f t="array" aca="1" ref="C2" ca="1">INDIRECT("flow_"&amp;$B$11-1&amp;"[@[Closing balance]]")</f>
        <v>#REF!</v>
      </c>
      <c r="D2" s="6">
        <f ca="1">SUMIFS(operations[Amount],operations[Bank],flow_8[[#This Row],[Bank]],operations[Product],flow_8[[#This Row],[Product]],operations[Month],$B$11)</f>
        <v>200</v>
      </c>
      <c r="E2" s="6" t="e">
        <f ca="1">flow_8[[#This Row],[Opening balance]]+flow_8[[#This Row],[Operations]]</f>
        <v>#REF!</v>
      </c>
      <c r="G2" s="5" t="s">
        <v>25</v>
      </c>
      <c r="H2" s="6">
        <f ca="1">SUMIFS(operations[Amount],operations[Month],$B$11,operations[Category],incomes_8[[#This Row],[Category]])</f>
        <v>0</v>
      </c>
      <c r="J2" t="s">
        <v>18</v>
      </c>
      <c r="K2" s="4">
        <f ca="1">SUMIFS(operations[Amount],operations[Month],$B$11,operations[Category],expenses_8[[#This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SUMIFS(operations[Amount],operations[Bank],flow_8[[#This Row],[Bank]],operations[Product],flow_8[[#This Row],[Product]],operations[Month],$B$11)</f>
        <v>-300</v>
      </c>
      <c r="E3" s="6">
        <f ca="1">flow_8[[#This Row],[Opening balance]]+flow_8[[#This Row],[Operations]]</f>
        <v>-289.5</v>
      </c>
      <c r="G3" s="5" t="s">
        <v>28</v>
      </c>
      <c r="H3" s="6">
        <f ca="1">SUMIFS(operations[Amount],operations[Month],$B$11,operations[Category],incomes_8[[#This Row],[Category]])</f>
        <v>0</v>
      </c>
      <c r="J3" t="s">
        <v>22</v>
      </c>
      <c r="K3" s="4">
        <f ca="1">SUMIFS(operations[Amount],operations[Month],$B$11,operations[Category],expenses_8[[#This Row],[Category]])</f>
        <v>-300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SUMIFS(operations[Amount],operations[Bank],flow_8[[#This Row],[Bank]],operations[Product],flow_8[[#This Row],[Product]],operations[Month],$B$11)</f>
        <v>1475</v>
      </c>
      <c r="E4" s="6">
        <f ca="1">flow_8[[#This Row],[Opening balance]]+flow_8[[#This Row],[Operations]]</f>
        <v>2075</v>
      </c>
      <c r="G4" s="5" t="s">
        <v>29</v>
      </c>
      <c r="H4" s="6">
        <f ca="1">SUMIFS(operations[Amount],operations[Month],$B$11,operations[Category],incomes_8[[#This Row],[Category]])</f>
        <v>400</v>
      </c>
      <c r="J4" t="s">
        <v>20</v>
      </c>
      <c r="K4" s="4">
        <f ca="1">SUMIFS(operations[Amount],operations[Month],$B$11,operations[Category],expenses_8[[#This Row],[Category]])</f>
        <v>-250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SUMIFS(operations[Amount],operations[Bank],flow_8[[#This Row],[Bank]],operations[Product],flow_8[[#This Row],[Product]],operations[Month],$B$11)</f>
        <v>33</v>
      </c>
      <c r="E5" s="6">
        <f ca="1">flow_8[[#This Row],[Opening balance]]+flow_8[[#This Row],[Operations]]</f>
        <v>33</v>
      </c>
      <c r="G5" s="5" t="s">
        <v>30</v>
      </c>
      <c r="H5" s="6">
        <f ca="1">SUMIFS(operations[Amount],operations[Month],$B$11,operations[Category],incomes_8[[#This Row],[Category]])</f>
        <v>0</v>
      </c>
      <c r="J5" t="s">
        <v>17</v>
      </c>
      <c r="K5" s="4">
        <f ca="1">SUMIFS(operations[Amount],operations[Month],$B$11,operations[Category],expenses_8[[#This Row],[Category]])</f>
        <v>-749.5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SUMIFS(operations[Amount],operations[Bank],flow_8[[#This Row],[Bank]],operations[Product],flow_8[[#This Row],[Product]],operations[Month],$B$11)</f>
        <v>-1020</v>
      </c>
      <c r="E6" s="6">
        <f ca="1">flow_8[[#This Row],[Opening balance]]+flow_8[[#This Row],[Operations]]</f>
        <v>980</v>
      </c>
      <c r="G6" s="5" t="s">
        <v>26</v>
      </c>
      <c r="H6" s="6">
        <f ca="1">SUMIFS(operations[Amount],operations[Month],$B$11,operations[Category],incomes_8[[#This Row],[Category]])</f>
        <v>4500</v>
      </c>
      <c r="J6" t="s">
        <v>21</v>
      </c>
      <c r="K6" s="4">
        <f ca="1">SUMIFS(operations[Amount],operations[Month],$B$11,operations[Category],expenses_8[[#This Row],[Category]])</f>
        <v>-400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SUMIFS(operations[Amount],operations[Bank],flow_8[[#This Row],[Bank]],operations[Product],flow_8[[#This Row],[Product]],operations[Month],$B$11)</f>
        <v>0</v>
      </c>
      <c r="E7" s="6">
        <f ca="1">flow_8[[#This Row],[Opening balance]]+flow_8[[#This Row],[Operations]]</f>
        <v>200</v>
      </c>
      <c r="G7" s="5" t="s">
        <v>27</v>
      </c>
      <c r="H7" s="6">
        <f ca="1">SUMIFS(operations[Amount],operations[Month],$B$11,operations[Category],incomes_8[[#This Row],[Category]])</f>
        <v>500</v>
      </c>
      <c r="J7" t="s">
        <v>19</v>
      </c>
      <c r="K7" s="4">
        <f ca="1">SUMIFS(operations[Amount],operations[Month],$B$11,operations[Category],expenses_8[[#This Row],[Category]])</f>
        <v>0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SUMIFS(operations[Amount],operations[Bank],flow_8[[#This Row],[Bank]],operations[Product],flow_8[[#This Row],[Product]],operations[Month],$B$11)</f>
        <v>2.5</v>
      </c>
      <c r="E8" s="6">
        <f ca="1">flow_8[[#This Row],[Opening balance]]+flow_8[[#This Row],[Operations]]</f>
        <v>32.5</v>
      </c>
      <c r="G8" s="5" t="s">
        <v>38</v>
      </c>
      <c r="H8" s="6">
        <f ca="1">SUBTOTAL(109,incomes_8[Total])</f>
        <v>5400</v>
      </c>
      <c r="J8" t="s">
        <v>24</v>
      </c>
      <c r="K8" s="4">
        <f ca="1">SUMIFS(operations[Amount],operations[Month],$B$11,operations[Category],expenses_8[[#This Row],[Category]])</f>
        <v>0</v>
      </c>
    </row>
    <row r="9" spans="1:11" x14ac:dyDescent="0.25">
      <c r="A9" s="5" t="s">
        <v>38</v>
      </c>
      <c r="B9" s="5"/>
      <c r="C9" s="6" t="e">
        <f ca="1">SUBTOTAL(109,flow_8[Opening balance])</f>
        <v>#REF!</v>
      </c>
      <c r="D9" s="6">
        <f ca="1">SUBTOTAL(109,flow_8[Operations])</f>
        <v>390.5</v>
      </c>
      <c r="E9" s="6" t="e">
        <f ca="1">SUBTOTAL(109,flow_8[Closing balance])</f>
        <v>#REF!</v>
      </c>
      <c r="J9" t="s">
        <v>23</v>
      </c>
      <c r="K9" s="4">
        <f ca="1">SUMIFS(operations[Amount],operations[Month],$B$11,operations[Category],expenses_8[[#This Row],[Category]])</f>
        <v>0</v>
      </c>
    </row>
    <row r="10" spans="1:11" x14ac:dyDescent="0.25">
      <c r="J10" t="s">
        <v>16</v>
      </c>
      <c r="K10" s="4">
        <f ca="1">SUMIFS(operations[Amount],operations[Month],$B$11,operations[Category],expenses_8[[#This Row],[Category]])</f>
        <v>-290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8</v>
      </c>
      <c r="C11" s="8" t="str" cm="1">
        <f t="array" aca="1" ref="C11" ca="1">RIGHT(CELL("filename",A1),LEN(CELL("filename",A1))-FIND("]",CELL("filename",A1)))</f>
        <v>8</v>
      </c>
      <c r="J11" t="s">
        <v>38</v>
      </c>
      <c r="K11" s="4">
        <f ca="1">SUBTOTAL(109,expenses_8[Total])</f>
        <v>-3989.5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SUMIFS(operations[Amount],operations[Month],$B$11,operations[Type],balance_6[[#This Row],[Type]])</f>
        <v>-3989.5</v>
      </c>
    </row>
    <row r="15" spans="1:11" x14ac:dyDescent="0.25">
      <c r="A15" t="s">
        <v>33</v>
      </c>
      <c r="B15" s="4">
        <f ca="1">SUMIFS(operations[Amount],operations[Month],$B$11,operations[Type],balance_6[[#This Row],[Type]])</f>
        <v>5400</v>
      </c>
    </row>
    <row r="16" spans="1:11" x14ac:dyDescent="0.25">
      <c r="A16" t="s">
        <v>34</v>
      </c>
      <c r="B16" s="4">
        <f ca="1">SUMIFS(operations[Amount],operations[Month],$B$11,operations[Type],balance_6[[#This Row],[Type]])</f>
        <v>-1020</v>
      </c>
    </row>
    <row r="17" spans="1:2" x14ac:dyDescent="0.25">
      <c r="A17" t="s">
        <v>38</v>
      </c>
      <c r="B17" s="4">
        <f ca="1">SUBTOTAL(109,balance_6[Total])</f>
        <v>390.5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B2A3-961B-44F9-BBE7-422F5B58C160}">
  <dimension ref="A1:K17"/>
  <sheetViews>
    <sheetView zoomScaleNormal="100" workbookViewId="0">
      <selection activeCell="F4" sqref="F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t="e" cm="1">
        <f t="array" aca="1" ref="C2" ca="1">INDIRECT("flow_"&amp;$B$11-1&amp;"[@[Closing balance]]")</f>
        <v>#REF!</v>
      </c>
      <c r="D2" s="6">
        <f ca="1">SUMIFS(operations[Amount],operations[Bank],flow_9[[#This Row],[Bank]],operations[Product],flow_9[[#This Row],[Product]],operations[Month],$B$11)</f>
        <v>-100</v>
      </c>
      <c r="E2" s="6" t="e">
        <f ca="1">flow_9[[#This Row],[Opening balance]]+flow_9[[#This Row],[Operations]]</f>
        <v>#REF!</v>
      </c>
      <c r="G2" s="5" t="s">
        <v>25</v>
      </c>
      <c r="H2" s="6">
        <f ca="1">SUMIFS(operations[Amount],operations[Month],$B$11,operations[Category],incomes_9[[#This Row],[Category]])</f>
        <v>0</v>
      </c>
      <c r="J2" t="s">
        <v>18</v>
      </c>
      <c r="K2" s="4">
        <f ca="1">SUMIFS(operations[Amount],operations[Month],$B$11,operations[Category],expenses_7[[#This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SUMIFS(operations[Amount],operations[Bank],flow_9[[#This Row],[Bank]],operations[Product],flow_9[[#This Row],[Product]],operations[Month],$B$11)</f>
        <v>1050</v>
      </c>
      <c r="E3" s="6">
        <f ca="1">flow_9[[#This Row],[Opening balance]]+flow_9[[#This Row],[Operations]]</f>
        <v>1060.5</v>
      </c>
      <c r="G3" s="5" t="s">
        <v>28</v>
      </c>
      <c r="H3" s="6">
        <f ca="1">SUMIFS(operations[Amount],operations[Month],$B$11,operations[Category],incomes_9[[#This Row],[Category]])</f>
        <v>120</v>
      </c>
      <c r="J3" t="s">
        <v>22</v>
      </c>
      <c r="K3" s="4">
        <f ca="1">SUMIFS(operations[Amount],operations[Month],$B$11,operations[Category],expenses_7[[#This Row],[Category]])</f>
        <v>250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SUMIFS(operations[Amount],operations[Bank],flow_9[[#This Row],[Bank]],operations[Product],flow_9[[#This Row],[Product]],operations[Month],$B$11)</f>
        <v>1010</v>
      </c>
      <c r="E4" s="6">
        <f ca="1">flow_9[[#This Row],[Opening balance]]+flow_9[[#This Row],[Operations]]</f>
        <v>1610</v>
      </c>
      <c r="G4" s="5" t="s">
        <v>29</v>
      </c>
      <c r="H4" s="6">
        <f ca="1">SUMIFS(operations[Amount],operations[Month],$B$11,operations[Category],incomes_9[[#This Row],[Category]])</f>
        <v>800</v>
      </c>
      <c r="J4" t="s">
        <v>20</v>
      </c>
      <c r="K4" s="4">
        <f ca="1">SUMIFS(operations[Amount],operations[Month],$B$11,operations[Category],expenses_7[[#This Row],[Category]])</f>
        <v>-700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SUMIFS(operations[Amount],operations[Bank],flow_9[[#This Row],[Bank]],operations[Product],flow_9[[#This Row],[Product]],operations[Month],$B$11)</f>
        <v>1165</v>
      </c>
      <c r="E5" s="6">
        <f ca="1">flow_9[[#This Row],[Opening balance]]+flow_9[[#This Row],[Operations]]</f>
        <v>1165</v>
      </c>
      <c r="G5" s="5" t="s">
        <v>30</v>
      </c>
      <c r="H5" s="6">
        <f ca="1">SUMIFS(operations[Amount],operations[Month],$B$11,operations[Category],incomes_9[[#This Row],[Category]])</f>
        <v>0</v>
      </c>
      <c r="J5" t="s">
        <v>17</v>
      </c>
      <c r="K5" s="4">
        <f ca="1">SUMIFS(operations[Amount],operations[Month],$B$11,operations[Category],expenses_7[[#This Row],[Category]])</f>
        <v>-165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SUMIFS(operations[Amount],operations[Bank],flow_9[[#This Row],[Bank]],operations[Product],flow_9[[#This Row],[Product]],operations[Month],$B$11)</f>
        <v>-180</v>
      </c>
      <c r="E6" s="6">
        <f ca="1">flow_9[[#This Row],[Opening balance]]+flow_9[[#This Row],[Operations]]</f>
        <v>1820</v>
      </c>
      <c r="G6" s="5" t="s">
        <v>26</v>
      </c>
      <c r="H6" s="6">
        <f ca="1">SUMIFS(operations[Amount],operations[Month],$B$11,operations[Category],incomes_9[[#This Row],[Category]])</f>
        <v>4500</v>
      </c>
      <c r="J6" t="s">
        <v>21</v>
      </c>
      <c r="K6" s="4">
        <f ca="1">SUMIFS(operations[Amount],operations[Month],$B$11,operations[Category],expenses_7[[#This Row],[Category]])</f>
        <v>-300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SUMIFS(operations[Amount],operations[Bank],flow_9[[#This Row],[Bank]],operations[Product],flow_9[[#This Row],[Product]],operations[Month],$B$11)</f>
        <v>-30</v>
      </c>
      <c r="E7" s="6">
        <f ca="1">flow_9[[#This Row],[Opening balance]]+flow_9[[#This Row],[Operations]]</f>
        <v>170</v>
      </c>
      <c r="G7" s="5" t="s">
        <v>27</v>
      </c>
      <c r="H7" s="6">
        <f ca="1">SUMIFS(operations[Amount],operations[Month],$B$11,operations[Category],incomes_9[[#This Row],[Category]])</f>
        <v>500</v>
      </c>
      <c r="J7" t="s">
        <v>19</v>
      </c>
      <c r="K7" s="4">
        <f ca="1">SUMIFS(operations[Amount],operations[Month],$B$11,operations[Category],expenses_7[[#This Row],[Category]])</f>
        <v>0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SUMIFS(operations[Amount],operations[Bank],flow_9[[#This Row],[Bank]],operations[Product],flow_9[[#This Row],[Product]],operations[Month],$B$11)</f>
        <v>0</v>
      </c>
      <c r="E8" s="6">
        <f ca="1">flow_9[[#This Row],[Opening balance]]+flow_9[[#This Row],[Operations]]</f>
        <v>30</v>
      </c>
      <c r="G8" s="5" t="s">
        <v>38</v>
      </c>
      <c r="H8" s="6">
        <f ca="1">SUBTOTAL(109,incomes_9[Total])</f>
        <v>5920</v>
      </c>
      <c r="J8" t="s">
        <v>24</v>
      </c>
      <c r="K8" s="4">
        <f ca="1">SUMIFS(operations[Amount],operations[Month],$B$11,operations[Category],expenses_7[[#This Row],[Category]])</f>
        <v>0</v>
      </c>
    </row>
    <row r="9" spans="1:11" x14ac:dyDescent="0.25">
      <c r="A9" s="5" t="s">
        <v>38</v>
      </c>
      <c r="B9" s="5"/>
      <c r="C9" s="6" t="e">
        <f ca="1">SUBTOTAL(109,flow_9[Opening balance])</f>
        <v>#REF!</v>
      </c>
      <c r="D9" s="6">
        <f ca="1">SUBTOTAL(109,flow_9[Operations])</f>
        <v>2915</v>
      </c>
      <c r="E9" s="6" t="e">
        <f ca="1">SUBTOTAL(109,flow_9[Closing balance])</f>
        <v>#REF!</v>
      </c>
      <c r="J9" t="s">
        <v>23</v>
      </c>
      <c r="K9" s="4">
        <f ca="1">SUMIFS(operations[Amount],operations[Month],$B$11,operations[Category],expenses_7[[#This Row],[Category]])</f>
        <v>0</v>
      </c>
    </row>
    <row r="10" spans="1:11" x14ac:dyDescent="0.25">
      <c r="J10" t="s">
        <v>16</v>
      </c>
      <c r="K10" s="4">
        <f ca="1">SUMIFS(operations[Amount],operations[Month],$B$11,operations[Category],expenses_7[[#This Row],[Category]])</f>
        <v>-90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7</v>
      </c>
      <c r="C11" s="8" t="str" cm="1">
        <f t="array" aca="1" ref="C11" ca="1">RIGHT(CELL("filename",A1),LEN(CELL("filename",A1))-FIND("]",CELL("filename",A1)))</f>
        <v>7</v>
      </c>
      <c r="J11" t="s">
        <v>38</v>
      </c>
      <c r="K11" s="4">
        <f ca="1">SUBTOTAL(109,expenses_7[Total])</f>
        <v>-3005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SUMIFS(operations[Amount],operations[Month],$B$11,operations[Type],balance_5[[#This Row],[Type]])</f>
        <v>-3005</v>
      </c>
    </row>
    <row r="15" spans="1:11" x14ac:dyDescent="0.25">
      <c r="A15" t="s">
        <v>33</v>
      </c>
      <c r="B15" s="4">
        <f ca="1">SUMIFS(operations[Amount],operations[Month],$B$11,operations[Type],balance_5[[#This Row],[Type]])</f>
        <v>5920</v>
      </c>
    </row>
    <row r="16" spans="1:11" x14ac:dyDescent="0.25">
      <c r="A16" t="s">
        <v>34</v>
      </c>
      <c r="B16" s="4">
        <f ca="1">SUMIFS(operations[Amount],operations[Month],$B$11,operations[Type],balance_5[[#This Row],[Type]])</f>
        <v>0</v>
      </c>
    </row>
    <row r="17" spans="1:2" x14ac:dyDescent="0.25">
      <c r="A17" t="s">
        <v>38</v>
      </c>
      <c r="B17" s="4">
        <f ca="1">SUBTOTAL(109,balance_5[Total])</f>
        <v>2915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3236-772C-4B06-B2D8-0A163AFD59C6}">
  <dimension ref="A1:K17"/>
  <sheetViews>
    <sheetView zoomScaleNormal="100" workbookViewId="0">
      <selection activeCell="F4" sqref="F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t="e" cm="1">
        <f t="array" aca="1" ref="C2" ca="1">INDIRECT("flow_"&amp;$B$11-1&amp;"[@[Closing balance]]")</f>
        <v>#REF!</v>
      </c>
      <c r="D2" s="6">
        <f ca="1">SUMIFS(operations[Amount],operations[Bank],flow_10[[#This Row],[Bank]],operations[Product],flow_10[[#This Row],[Product]],operations[Month],$B$11)</f>
        <v>250</v>
      </c>
      <c r="E2" s="6" t="e">
        <f ca="1">flow_10[[#This Row],[Opening balance]]+flow_10[[#This Row],[Operations]]</f>
        <v>#REF!</v>
      </c>
      <c r="G2" s="5" t="s">
        <v>25</v>
      </c>
      <c r="H2" s="6">
        <f ca="1">SUMIFS(operations[Amount],operations[Month],$B$11,operations[Category],incomes_214222630[[#This Row],[Category]])</f>
        <v>400</v>
      </c>
      <c r="J2" t="s">
        <v>18</v>
      </c>
      <c r="K2" s="4">
        <f ca="1">SUMIFS(operations[Amount],operations[Month],$B$11,operations[Category],expenses_6[[#This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SUMIFS(operations[Amount],operations[Bank],flow_10[[#This Row],[Bank]],operations[Product],flow_10[[#This Row],[Product]],operations[Month],$B$11)</f>
        <v>0</v>
      </c>
      <c r="E3" s="6">
        <f ca="1">flow_10[[#This Row],[Opening balance]]+flow_10[[#This Row],[Operations]]</f>
        <v>10.5</v>
      </c>
      <c r="G3" s="5" t="s">
        <v>28</v>
      </c>
      <c r="H3" s="6">
        <f ca="1">SUMIFS(operations[Amount],operations[Month],$B$11,operations[Category],incomes_214222630[[#This Row],[Category]])</f>
        <v>0</v>
      </c>
      <c r="J3" t="s">
        <v>22</v>
      </c>
      <c r="K3" s="4">
        <f ca="1">SUMIFS(operations[Amount],operations[Month],$B$11,operations[Category],expenses_6[[#This Row],[Category]])</f>
        <v>-300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SUMIFS(operations[Amount],operations[Bank],flow_10[[#This Row],[Bank]],operations[Product],flow_10[[#This Row],[Product]],operations[Month],$B$11)</f>
        <v>1420</v>
      </c>
      <c r="E4" s="6">
        <f ca="1">flow_10[[#This Row],[Opening balance]]+flow_10[[#This Row],[Operations]]</f>
        <v>2020</v>
      </c>
      <c r="G4" s="5" t="s">
        <v>29</v>
      </c>
      <c r="H4" s="6">
        <f ca="1">SUMIFS(operations[Amount],operations[Month],$B$11,operations[Category],incomes_214222630[[#This Row],[Category]])</f>
        <v>0</v>
      </c>
      <c r="J4" t="s">
        <v>20</v>
      </c>
      <c r="K4" s="4">
        <f ca="1">SUMIFS(operations[Amount],operations[Month],$B$11,operations[Category],expenses_6[[#This Row],[Category]])</f>
        <v>-200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SUMIFS(operations[Amount],operations[Bank],flow_10[[#This Row],[Bank]],operations[Product],flow_10[[#This Row],[Product]],operations[Month],$B$11)</f>
        <v>-300</v>
      </c>
      <c r="E5" s="6">
        <f ca="1">flow_10[[#This Row],[Opening balance]]+flow_10[[#This Row],[Operations]]</f>
        <v>-300</v>
      </c>
      <c r="G5" s="5" t="s">
        <v>30</v>
      </c>
      <c r="H5" s="6">
        <f ca="1">SUMIFS(operations[Amount],operations[Month],$B$11,operations[Category],incomes_214222630[[#This Row],[Category]])</f>
        <v>0</v>
      </c>
      <c r="J5" t="s">
        <v>17</v>
      </c>
      <c r="K5" s="4">
        <f ca="1">SUMIFS(operations[Amount],operations[Month],$B$11,operations[Category],expenses_6[[#This Row],[Category]])</f>
        <v>-1000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SUMIFS(operations[Amount],operations[Bank],flow_10[[#This Row],[Bank]],operations[Product],flow_10[[#This Row],[Product]],operations[Month],$B$11)</f>
        <v>0</v>
      </c>
      <c r="E6" s="6">
        <f ca="1">flow_10[[#This Row],[Opening balance]]+flow_10[[#This Row],[Operations]]</f>
        <v>2000</v>
      </c>
      <c r="G6" s="5" t="s">
        <v>26</v>
      </c>
      <c r="H6" s="6">
        <f ca="1">SUMIFS(operations[Amount],operations[Month],$B$11,operations[Category],incomes_214222630[[#This Row],[Category]])</f>
        <v>4500</v>
      </c>
      <c r="J6" t="s">
        <v>21</v>
      </c>
      <c r="K6" s="4">
        <f ca="1">SUMIFS(operations[Amount],operations[Month],$B$11,operations[Category],expenses_6[[#This Row],[Category]])</f>
        <v>-100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SUMIFS(operations[Amount],operations[Bank],flow_10[[#This Row],[Bank]],operations[Product],flow_10[[#This Row],[Product]],operations[Month],$B$11)</f>
        <v>0</v>
      </c>
      <c r="E7" s="6">
        <f ca="1">flow_10[[#This Row],[Opening balance]]+flow_10[[#This Row],[Operations]]</f>
        <v>200</v>
      </c>
      <c r="G7" s="5" t="s">
        <v>27</v>
      </c>
      <c r="H7" s="6">
        <f ca="1">SUMIFS(operations[Amount],operations[Month],$B$11,operations[Category],incomes_214222630[[#This Row],[Category]])</f>
        <v>0</v>
      </c>
      <c r="J7" t="s">
        <v>19</v>
      </c>
      <c r="K7" s="4">
        <f ca="1">SUMIFS(operations[Amount],operations[Month],$B$11,operations[Category],expenses_6[[#This Row],[Category]])</f>
        <v>-50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SUMIFS(operations[Amount],operations[Bank],flow_10[[#This Row],[Bank]],operations[Product],flow_10[[#This Row],[Product]],operations[Month],$B$11)</f>
        <v>-200</v>
      </c>
      <c r="E8" s="6">
        <f ca="1">flow_10[[#This Row],[Opening balance]]+flow_10[[#This Row],[Operations]]</f>
        <v>-170</v>
      </c>
      <c r="G8" s="5" t="s">
        <v>38</v>
      </c>
      <c r="H8" s="6">
        <f ca="1">SUBTOTAL(109,incomes_214222630[Total])</f>
        <v>4900</v>
      </c>
      <c r="J8" t="s">
        <v>24</v>
      </c>
      <c r="K8" s="4">
        <f ca="1">SUMIFS(operations[Amount],operations[Month],$B$11,operations[Category],expenses_6[[#This Row],[Category]])</f>
        <v>0</v>
      </c>
    </row>
    <row r="9" spans="1:11" x14ac:dyDescent="0.25">
      <c r="A9" s="5" t="s">
        <v>38</v>
      </c>
      <c r="B9" s="5"/>
      <c r="C9" s="6" t="e">
        <f ca="1">SUBTOTAL(109,flow_10[Opening balance])</f>
        <v>#REF!</v>
      </c>
      <c r="D9" s="6">
        <f ca="1">SUBTOTAL(109,flow_10[Operations])</f>
        <v>1170</v>
      </c>
      <c r="E9" s="6" t="e">
        <f ca="1">SUBTOTAL(109,flow_10[Closing balance])</f>
        <v>#REF!</v>
      </c>
      <c r="J9" t="s">
        <v>23</v>
      </c>
      <c r="K9" s="4">
        <f ca="1">SUMIFS(operations[Amount],operations[Month],$B$11,operations[Category],expenses_6[[#This Row],[Category]])</f>
        <v>0</v>
      </c>
    </row>
    <row r="10" spans="1:11" x14ac:dyDescent="0.25">
      <c r="J10" t="s">
        <v>16</v>
      </c>
      <c r="K10" s="4">
        <f ca="1">SUMIFS(operations[Amount],operations[Month],$B$11,operations[Category],expenses_6[[#This Row],[Category]])</f>
        <v>-80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6</v>
      </c>
      <c r="C11" s="8" t="str" cm="1">
        <f t="array" aca="1" ref="C11" ca="1">RIGHT(CELL("filename",A1),LEN(CELL("filename",A1))-FIND("]",CELL("filename",A1)))</f>
        <v>6</v>
      </c>
      <c r="J11" t="s">
        <v>38</v>
      </c>
      <c r="K11" s="4">
        <f ca="1">SUBTOTAL(109,expenses_6[Total])</f>
        <v>-3730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SUMIFS(operations[Amount],operations[Month],$B$11,operations[Type],balance_4[[#This Row],[Type]])</f>
        <v>-3730</v>
      </c>
    </row>
    <row r="15" spans="1:11" x14ac:dyDescent="0.25">
      <c r="A15" t="s">
        <v>33</v>
      </c>
      <c r="B15" s="4">
        <f ca="1">SUMIFS(operations[Amount],operations[Month],$B$11,operations[Type],balance_4[[#This Row],[Type]])</f>
        <v>4900</v>
      </c>
    </row>
    <row r="16" spans="1:11" x14ac:dyDescent="0.25">
      <c r="A16" t="s">
        <v>34</v>
      </c>
      <c r="B16" s="4">
        <f ca="1">SUMIFS(operations[Amount],operations[Month],$B$11,operations[Type],balance_4[[#This Row],[Type]])</f>
        <v>0</v>
      </c>
    </row>
    <row r="17" spans="1:2" x14ac:dyDescent="0.25">
      <c r="A17" t="s">
        <v>38</v>
      </c>
      <c r="B17" s="4">
        <f ca="1">SUBTOTAL(109,balance_4[Total])</f>
        <v>1170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1F6D-4111-4DC4-9794-5542CF9A4311}">
  <dimension ref="A1:K17"/>
  <sheetViews>
    <sheetView zoomScaleNormal="100" workbookViewId="0">
      <selection activeCell="C2" sqref="C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t="e" cm="1">
        <f t="array" aca="1" ref="C2" ca="1">INDIRECT("flow_"&amp;$B$11-1&amp;"[@[Closing balance]]")</f>
        <v>#REF!</v>
      </c>
      <c r="D2" s="6">
        <f ca="1">SUMIFS(operations[Amount],operations[Bank],flow_11[[#This Row],[Bank]],operations[Product],flow_11[[#This Row],[Product]],operations[Month],$B$11)</f>
        <v>-50</v>
      </c>
      <c r="E2" s="6">
        <f ca="1">flow_11[[#This Row],[Opening balance]]+flow_11[[#This Row],[Operations]]</f>
        <v>-50</v>
      </c>
      <c r="G2" s="5" t="s">
        <v>25</v>
      </c>
      <c r="H2" s="6">
        <f ca="1">SUMIFS(operations[Amount],operations[Month],$B$11,operations[Category],incomes_2142226[[#This Row],[Category]])</f>
        <v>0</v>
      </c>
      <c r="J2" t="s">
        <v>18</v>
      </c>
      <c r="K2" s="4">
        <f ca="1">SUMIFS(operations[Amount],operations[Month],$B$11,operations[Category],expenses_5[[#This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SUMIFS(operations[Amount],operations[Bank],flow_11[[#This Row],[Bank]],operations[Product],flow_11[[#This Row],[Product]],operations[Month],$B$11)</f>
        <v>0</v>
      </c>
      <c r="E3" s="6">
        <f ca="1">flow_11[[#This Row],[Opening balance]]+flow_11[[#This Row],[Operations]]</f>
        <v>10.5</v>
      </c>
      <c r="G3" s="5" t="s">
        <v>28</v>
      </c>
      <c r="H3" s="6">
        <f ca="1">SUMIFS(operations[Amount],operations[Month],$B$11,operations[Category],incomes_2142226[[#This Row],[Category]])</f>
        <v>0</v>
      </c>
      <c r="J3" t="s">
        <v>22</v>
      </c>
      <c r="K3" s="4">
        <f ca="1">SUMIFS(operations[Amount],operations[Month],$B$11,operations[Category],expenses_5[[#This Row],[Category]])</f>
        <v>0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SUMIFS(operations[Amount],operations[Bank],flow_11[[#This Row],[Bank]],operations[Product],flow_11[[#This Row],[Product]],operations[Month],$B$11)</f>
        <v>2328.61</v>
      </c>
      <c r="E4" s="6">
        <f ca="1">flow_11[[#This Row],[Opening balance]]+flow_11[[#This Row],[Operations]]</f>
        <v>2928.61</v>
      </c>
      <c r="G4" s="5" t="s">
        <v>29</v>
      </c>
      <c r="H4" s="6">
        <f ca="1">SUMIFS(operations[Amount],operations[Month],$B$11,operations[Category],incomes_2142226[[#This Row],[Category]])</f>
        <v>0</v>
      </c>
      <c r="J4" t="s">
        <v>20</v>
      </c>
      <c r="K4" s="4">
        <f ca="1">SUMIFS(operations[Amount],operations[Month],$B$11,operations[Category],expenses_5[[#This Row],[Category]])</f>
        <v>-80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SUMIFS(operations[Amount],operations[Bank],flow_11[[#This Row],[Bank]],operations[Product],flow_11[[#This Row],[Product]],operations[Month],$B$11)</f>
        <v>-908.61</v>
      </c>
      <c r="E5" s="6">
        <f ca="1">flow_11[[#This Row],[Opening balance]]+flow_11[[#This Row],[Operations]]</f>
        <v>-908.61</v>
      </c>
      <c r="G5" s="5" t="s">
        <v>30</v>
      </c>
      <c r="H5" s="6">
        <f ca="1">SUMIFS(operations[Amount],operations[Month],$B$11,operations[Category],incomes_2142226[[#This Row],[Category]])</f>
        <v>0</v>
      </c>
      <c r="J5" t="s">
        <v>17</v>
      </c>
      <c r="K5" s="4">
        <f ca="1">SUMIFS(operations[Amount],operations[Month],$B$11,operations[Category],expenses_5[[#This Row],[Category]])</f>
        <v>-1000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SUMIFS(operations[Amount],operations[Bank],flow_11[[#This Row],[Bank]],operations[Product],flow_11[[#This Row],[Product]],operations[Month],$B$11)</f>
        <v>0</v>
      </c>
      <c r="E6" s="6">
        <f ca="1">flow_11[[#This Row],[Opening balance]]+flow_11[[#This Row],[Operations]]</f>
        <v>2000</v>
      </c>
      <c r="G6" s="5" t="s">
        <v>26</v>
      </c>
      <c r="H6" s="6">
        <f ca="1">SUMIFS(operations[Amount],operations[Month],$B$11,operations[Category],incomes_2142226[[#This Row],[Category]])</f>
        <v>4500</v>
      </c>
      <c r="J6" t="s">
        <v>21</v>
      </c>
      <c r="K6" s="4">
        <f ca="1">SUMIFS(operations[Amount],operations[Month],$B$11,operations[Category],expenses_5[[#This Row],[Category]])</f>
        <v>0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SUMIFS(operations[Amount],operations[Bank],flow_11[[#This Row],[Bank]],operations[Product],flow_11[[#This Row],[Product]],operations[Month],$B$11)</f>
        <v>0</v>
      </c>
      <c r="E7" s="6">
        <f ca="1">flow_11[[#This Row],[Opening balance]]+flow_11[[#This Row],[Operations]]</f>
        <v>200</v>
      </c>
      <c r="G7" s="5" t="s">
        <v>27</v>
      </c>
      <c r="H7" s="6">
        <f ca="1">SUMIFS(operations[Amount],operations[Month],$B$11,operations[Category],incomes_2142226[[#This Row],[Category]])</f>
        <v>0</v>
      </c>
      <c r="J7" t="s">
        <v>19</v>
      </c>
      <c r="K7" s="4">
        <f ca="1">SUMIFS(operations[Amount],operations[Month],$B$11,operations[Category],expenses_5[[#This Row],[Category]])</f>
        <v>-50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SUMIFS(operations[Amount],operations[Bank],flow_11[[#This Row],[Bank]],operations[Product],flow_11[[#This Row],[Product]],operations[Month],$B$11)</f>
        <v>-80</v>
      </c>
      <c r="E8" s="6">
        <f ca="1">flow_11[[#This Row],[Opening balance]]+flow_11[[#This Row],[Operations]]</f>
        <v>-50</v>
      </c>
      <c r="G8" s="5" t="s">
        <v>38</v>
      </c>
      <c r="H8" s="6">
        <f ca="1">SUBTOTAL(109,incomes_2142226[Total])</f>
        <v>4500</v>
      </c>
      <c r="J8" t="s">
        <v>24</v>
      </c>
      <c r="K8" s="4">
        <f ca="1">SUMIFS(operations[Amount],operations[Month],$B$11,operations[Category],expenses_5[[#This Row],[Category]])</f>
        <v>0</v>
      </c>
    </row>
    <row r="9" spans="1:11" x14ac:dyDescent="0.25">
      <c r="A9" s="5" t="s">
        <v>38</v>
      </c>
      <c r="B9" s="5"/>
      <c r="C9" s="6">
        <f ca="1">SUBTOTAL(109,flow_11[Opening balance])</f>
        <v>2840.5</v>
      </c>
      <c r="D9" s="6">
        <f ca="1">SUBTOTAL(109,flow_11[Operations])</f>
        <v>1290</v>
      </c>
      <c r="E9" s="6">
        <f ca="1">SUBTOTAL(109,flow_11[Closing balance])</f>
        <v>4130.5</v>
      </c>
      <c r="J9" t="s">
        <v>23</v>
      </c>
      <c r="K9" s="4">
        <f ca="1">SUMIFS(operations[Amount],operations[Month],$B$11,operations[Category],expenses_5[[#This Row],[Category]])</f>
        <v>0</v>
      </c>
    </row>
    <row r="10" spans="1:11" x14ac:dyDescent="0.25">
      <c r="J10" t="s">
        <v>16</v>
      </c>
      <c r="K10" s="4">
        <f ca="1">SUMIFS(operations[Amount],operations[Month],$B$11,operations[Category],expenses_5[[#This Row],[Category]])</f>
        <v>-80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5</v>
      </c>
      <c r="C11" s="8" t="str" cm="1">
        <f t="array" aca="1" ref="C11" ca="1">RIGHT(CELL("filename",A1),LEN(CELL("filename",A1))-FIND("]",CELL("filename",A1)))</f>
        <v>5</v>
      </c>
      <c r="J11" t="s">
        <v>38</v>
      </c>
      <c r="K11" s="4">
        <f ca="1">SUBTOTAL(109,expenses_5[Total])</f>
        <v>-3210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SUMIFS(operations[Amount],operations[Month],$B$11,operations[Type],balance_11[[#This Row],[Type]])</f>
        <v>-3210</v>
      </c>
    </row>
    <row r="15" spans="1:11" x14ac:dyDescent="0.25">
      <c r="A15" t="s">
        <v>33</v>
      </c>
      <c r="B15" s="4">
        <f ca="1">SUMIFS(operations[Amount],operations[Month],$B$11,operations[Type],balance_11[[#This Row],[Type]])</f>
        <v>4500</v>
      </c>
    </row>
    <row r="16" spans="1:11" x14ac:dyDescent="0.25">
      <c r="A16" t="s">
        <v>34</v>
      </c>
      <c r="B16" s="4">
        <f ca="1">SUMIFS(operations[Amount],operations[Month],$B$11,operations[Type],balance_11[[#This Row],[Type]])</f>
        <v>0</v>
      </c>
    </row>
    <row r="17" spans="1:2" x14ac:dyDescent="0.25">
      <c r="A17" t="s">
        <v>38</v>
      </c>
      <c r="B17" s="4">
        <f ca="1">SUBTOTAL(109,balance_11[Total])</f>
        <v>1290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5682-41D7-48C8-8485-F110DEFDF127}">
  <dimension ref="A1:K17"/>
  <sheetViews>
    <sheetView zoomScaleNormal="100" workbookViewId="0">
      <selection activeCell="F4" sqref="F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cm="1">
        <f t="array" aca="1" ref="C2" ca="1">INDIRECT("flow_"&amp;$B$11-1&amp;"[@[Closing balance]]")</f>
        <v>167.5</v>
      </c>
      <c r="D2" s="6">
        <f ca="1">SUMIFS(operations[Amount],operations[Bank],flow_12[[#This Row],[Bank]],operations[Product],flow_12[[#This Row],[Product]],operations[Month],$B$11)</f>
        <v>101</v>
      </c>
      <c r="E2" s="6">
        <f ca="1">flow_12[[#This Row],[Opening balance]]+flow_12[[#This Row],[Operations]]</f>
        <v>268.5</v>
      </c>
      <c r="G2" s="5" t="s">
        <v>25</v>
      </c>
      <c r="H2" s="6">
        <f ca="1">SUMIFS(operations[Amount],operations[Month],$B$11,operations[Category],incomes_21422[[#This Row],[Category]])</f>
        <v>0</v>
      </c>
      <c r="J2" t="s">
        <v>18</v>
      </c>
      <c r="K2" s="4">
        <f ca="1">SUMIFS(operations[Amount],operations[Month],$B$11,operations[Category],expenses_4[[#This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SUMIFS(operations[Amount],operations[Bank],flow_12[[#This Row],[Bank]],operations[Product],flow_12[[#This Row],[Product]],operations[Month],$B$11)</f>
        <v>50</v>
      </c>
      <c r="E3" s="6">
        <f ca="1">flow_12[[#This Row],[Opening balance]]+flow_12[[#This Row],[Operations]]</f>
        <v>60.5</v>
      </c>
      <c r="G3" s="5" t="s">
        <v>28</v>
      </c>
      <c r="H3" s="6">
        <f ca="1">SUMIFS(operations[Amount],operations[Month],$B$11,operations[Category],incomes_21422[[#This Row],[Category]])</f>
        <v>150</v>
      </c>
      <c r="J3" t="s">
        <v>22</v>
      </c>
      <c r="K3" s="4">
        <f ca="1">SUMIFS(operations[Amount],operations[Month],$B$11,operations[Category],expenses_4[[#This Row],[Category]])</f>
        <v>-149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SUMIFS(operations[Amount],operations[Bank],flow_12[[#This Row],[Bank]],operations[Product],flow_12[[#This Row],[Product]],operations[Month],$B$11)</f>
        <v>562.72999999999968</v>
      </c>
      <c r="E4" s="6">
        <f ca="1">flow_12[[#This Row],[Opening balance]]+flow_12[[#This Row],[Operations]]</f>
        <v>1162.7299999999996</v>
      </c>
      <c r="G4" s="5" t="s">
        <v>29</v>
      </c>
      <c r="H4" s="6">
        <f ca="1">SUMIFS(operations[Amount],operations[Month],$B$11,operations[Category],incomes_21422[[#This Row],[Category]])</f>
        <v>50</v>
      </c>
      <c r="J4" t="s">
        <v>20</v>
      </c>
      <c r="K4" s="4">
        <f ca="1">SUMIFS(operations[Amount],operations[Month],$B$11,operations[Category],expenses_4[[#This Row],[Category]])</f>
        <v>-1057.9000000000001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SUMIFS(operations[Amount],operations[Bank],flow_12[[#This Row],[Bank]],operations[Product],flow_12[[#This Row],[Product]],operations[Month],$B$11)</f>
        <v>13.110000000000007</v>
      </c>
      <c r="E5" s="6">
        <f ca="1">flow_12[[#This Row],[Opening balance]]+flow_12[[#This Row],[Operations]]</f>
        <v>13.110000000000007</v>
      </c>
      <c r="G5" s="5" t="s">
        <v>30</v>
      </c>
      <c r="H5" s="6">
        <f ca="1">SUMIFS(operations[Amount],operations[Month],$B$11,operations[Category],incomes_21422[[#This Row],[Category]])</f>
        <v>0</v>
      </c>
      <c r="J5" t="s">
        <v>17</v>
      </c>
      <c r="K5" s="4">
        <f ca="1">SUMIFS(operations[Amount],operations[Month],$B$11,operations[Category],expenses_4[[#This Row],[Category]])</f>
        <v>-372.26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SUMIFS(operations[Amount],operations[Bank],flow_12[[#This Row],[Bank]],operations[Product],flow_12[[#This Row],[Product]],operations[Month],$B$11)</f>
        <v>0</v>
      </c>
      <c r="E6" s="6">
        <f ca="1">flow_12[[#This Row],[Opening balance]]+flow_12[[#This Row],[Operations]]</f>
        <v>2000</v>
      </c>
      <c r="G6" s="5" t="s">
        <v>26</v>
      </c>
      <c r="H6" s="6">
        <f ca="1">SUMIFS(operations[Amount],operations[Month],$B$11,operations[Category],incomes_21422[[#This Row],[Category]])</f>
        <v>4500</v>
      </c>
      <c r="J6" t="s">
        <v>21</v>
      </c>
      <c r="K6" s="4">
        <f ca="1">SUMIFS(operations[Amount],operations[Month],$B$11,operations[Category],expenses_4[[#This Row],[Category]])</f>
        <v>-23.5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SUMIFS(operations[Amount],operations[Bank],flow_12[[#This Row],[Bank]],operations[Product],flow_12[[#This Row],[Product]],operations[Month],$B$11)</f>
        <v>0</v>
      </c>
      <c r="E7" s="6">
        <f ca="1">flow_12[[#This Row],[Opening balance]]+flow_12[[#This Row],[Operations]]</f>
        <v>200</v>
      </c>
      <c r="G7" s="5" t="s">
        <v>27</v>
      </c>
      <c r="H7" s="6">
        <f ca="1">SUMIFS(operations[Amount],operations[Month],$B$11,operations[Category],incomes_21422[[#This Row],[Category]])</f>
        <v>0</v>
      </c>
      <c r="J7" t="s">
        <v>19</v>
      </c>
      <c r="K7" s="4">
        <f ca="1">SUMIFS(operations[Amount],operations[Month],$B$11,operations[Category],expenses_4[[#This Row],[Category]])</f>
        <v>-49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SUMIFS(operations[Amount],operations[Bank],flow_12[[#This Row],[Bank]],operations[Product],flow_12[[#This Row],[Product]],operations[Month],$B$11)</f>
        <v>0</v>
      </c>
      <c r="E8" s="6">
        <f ca="1">flow_12[[#This Row],[Opening balance]]+flow_12[[#This Row],[Operations]]</f>
        <v>30</v>
      </c>
      <c r="G8" s="5" t="s">
        <v>38</v>
      </c>
      <c r="H8" s="6">
        <f ca="1">SUBTOTAL(109,incomes_21422[Total])</f>
        <v>4700</v>
      </c>
      <c r="J8" t="s">
        <v>24</v>
      </c>
      <c r="K8" s="4">
        <f ca="1">SUMIFS(operations[Amount],operations[Month],$B$11,operations[Category],expenses_4[[#This Row],[Category]])</f>
        <v>-100</v>
      </c>
    </row>
    <row r="9" spans="1:11" x14ac:dyDescent="0.25">
      <c r="A9" s="5" t="s">
        <v>38</v>
      </c>
      <c r="B9" s="5"/>
      <c r="C9" s="6">
        <f ca="1">SUBTOTAL(109,flow_12[Opening balance])</f>
        <v>3008</v>
      </c>
      <c r="D9" s="6">
        <f ca="1">SUBTOTAL(109,flow_12[Operations])</f>
        <v>726.83999999999969</v>
      </c>
      <c r="E9" s="6">
        <f ca="1">SUBTOTAL(109,flow_12[Closing balance])</f>
        <v>3734.8399999999992</v>
      </c>
      <c r="J9" t="s">
        <v>23</v>
      </c>
      <c r="K9" s="4">
        <f ca="1">SUMIFS(operations[Amount],operations[Month],$B$11,operations[Category],expenses_4[[#This Row],[Category]])</f>
        <v>-139</v>
      </c>
    </row>
    <row r="10" spans="1:11" x14ac:dyDescent="0.25">
      <c r="J10" t="s">
        <v>16</v>
      </c>
      <c r="K10" s="4">
        <f ca="1">SUMIFS(operations[Amount],operations[Month],$B$11,operations[Category],expenses_4[[#This Row],[Category]])</f>
        <v>-82.5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4</v>
      </c>
      <c r="C11" s="8" t="str" cm="1">
        <f t="array" aca="1" ref="C11" ca="1">RIGHT(CELL("filename",A1),LEN(CELL("filename",A1))-FIND("]",CELL("filename",A1)))</f>
        <v>4</v>
      </c>
      <c r="J11" t="s">
        <v>38</v>
      </c>
      <c r="K11" s="4">
        <f ca="1">SUBTOTAL(109,expenses_4[Total])</f>
        <v>-3973.16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SUMIFS(operations[Amount],operations[Month],$B$11,operations[Type],balance_10[[#This Row],[Type]])</f>
        <v>-3973.16</v>
      </c>
    </row>
    <row r="15" spans="1:11" x14ac:dyDescent="0.25">
      <c r="A15" t="s">
        <v>33</v>
      </c>
      <c r="B15" s="4">
        <f ca="1">SUMIFS(operations[Amount],operations[Month],$B$11,operations[Type],balance_10[[#This Row],[Type]])</f>
        <v>4700</v>
      </c>
    </row>
    <row r="16" spans="1:11" x14ac:dyDescent="0.25">
      <c r="A16" t="s">
        <v>34</v>
      </c>
      <c r="B16" s="4">
        <f ca="1">SUMIFS(operations[Amount],operations[Month],$B$11,operations[Type],balance_10[[#This Row],[Type]])</f>
        <v>0</v>
      </c>
    </row>
    <row r="17" spans="1:2" x14ac:dyDescent="0.25">
      <c r="A17" t="s">
        <v>38</v>
      </c>
      <c r="B17" s="4">
        <f ca="1">SUBTOTAL(109,balance_10[Total])</f>
        <v>726.84000000000015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6226-2CAE-4441-8EB3-4D4304C72251}">
  <dimension ref="A1:K17"/>
  <sheetViews>
    <sheetView zoomScaleNormal="100" workbookViewId="0">
      <selection activeCell="E24" sqref="E2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cm="1">
        <f t="array" aca="1" ref="C2" ca="1">INDIRECT("flow_"&amp;$B$11-1&amp;"[@[Closing balance]]")</f>
        <v>100</v>
      </c>
      <c r="D2" s="6">
        <f ca="1">SUMIFS(operations[Amount],operations[Bank],flow_3[[#This Row],[Bank]],operations[Product],flow_3[[#This Row],[Product]],operations[Month],$B$11)</f>
        <v>67.5</v>
      </c>
      <c r="E2" s="6">
        <f ca="1">flow_3[[#This Row],[Opening balance]]+flow_3[[#This Row],[Operations]]</f>
        <v>167.5</v>
      </c>
      <c r="G2" s="5" t="s">
        <v>25</v>
      </c>
      <c r="H2" s="6">
        <f ca="1">SUMIFS(operations[Amount],operations[Month],$B$11,operations[Category],incomes_3[[#This Row],[Category]])</f>
        <v>0</v>
      </c>
      <c r="J2" t="s">
        <v>18</v>
      </c>
      <c r="K2" s="4">
        <f ca="1">SUMIFS(operations[Amount],operations[Month],$B$11,operations[Category],expenses_3[[#This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SUMIFS(operations[Amount],operations[Bank],flow_3[[#This Row],[Bank]],operations[Product],flow_3[[#This Row],[Product]],operations[Month],$B$11)</f>
        <v>5</v>
      </c>
      <c r="E3" s="6">
        <f ca="1">flow_3[[#This Row],[Opening balance]]+flow_3[[#This Row],[Operations]]</f>
        <v>15.5</v>
      </c>
      <c r="G3" s="5" t="s">
        <v>28</v>
      </c>
      <c r="H3" s="6">
        <f ca="1">SUMIFS(operations[Amount],operations[Month],$B$11,operations[Category],incomes_3[[#This Row],[Category]])</f>
        <v>150</v>
      </c>
      <c r="J3" t="s">
        <v>22</v>
      </c>
      <c r="K3" s="4">
        <f ca="1">SUMIFS(operations[Amount],operations[Month],$B$11,operations[Category],expenses_3[[#This Row],[Category]])</f>
        <v>-469.9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SUMIFS(operations[Amount],operations[Bank],flow_3[[#This Row],[Bank]],operations[Product],flow_3[[#This Row],[Product]],operations[Month],$B$11)</f>
        <v>821.59999999999991</v>
      </c>
      <c r="E4" s="6">
        <f ca="1">flow_3[[#This Row],[Opening balance]]+flow_3[[#This Row],[Operations]]</f>
        <v>1421.6</v>
      </c>
      <c r="G4" s="5" t="s">
        <v>29</v>
      </c>
      <c r="H4" s="6">
        <f ca="1">SUMIFS(operations[Amount],operations[Month],$B$11,operations[Category],incomes_3[[#This Row],[Category]])</f>
        <v>5</v>
      </c>
      <c r="J4" t="s">
        <v>20</v>
      </c>
      <c r="K4" s="4">
        <f ca="1">SUMIFS(operations[Amount],operations[Month],$B$11,operations[Category],expenses_3[[#This Row],[Category]])</f>
        <v>-200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SUMIFS(operations[Amount],operations[Bank],flow_3[[#This Row],[Bank]],operations[Product],flow_3[[#This Row],[Product]],operations[Month],$B$11)</f>
        <v>-104.5</v>
      </c>
      <c r="E5" s="6">
        <f ca="1">flow_3[[#This Row],[Opening balance]]+flow_3[[#This Row],[Operations]]</f>
        <v>-104.5</v>
      </c>
      <c r="G5" s="5" t="s">
        <v>30</v>
      </c>
      <c r="H5" s="6">
        <f ca="1">SUMIFS(operations[Amount],operations[Month],$B$11,operations[Category],incomes_3[[#This Row],[Category]])</f>
        <v>0</v>
      </c>
      <c r="J5" t="s">
        <v>17</v>
      </c>
      <c r="K5" s="4">
        <f ca="1">SUMIFS(operations[Amount],operations[Month],$B$11,operations[Category],expenses_3[[#This Row],[Category]])</f>
        <v>-734.99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SUMIFS(operations[Amount],operations[Bank],flow_3[[#This Row],[Bank]],operations[Product],flow_3[[#This Row],[Product]],operations[Month],$B$11)</f>
        <v>0</v>
      </c>
      <c r="E6" s="6">
        <f ca="1">flow_3[[#This Row],[Opening balance]]+flow_3[[#This Row],[Operations]]</f>
        <v>2000</v>
      </c>
      <c r="G6" s="5" t="s">
        <v>26</v>
      </c>
      <c r="H6" s="6">
        <f ca="1">SUMIFS(operations[Amount],operations[Month],$B$11,operations[Category],incomes_3[[#This Row],[Category]])</f>
        <v>4500</v>
      </c>
      <c r="J6" t="s">
        <v>21</v>
      </c>
      <c r="K6" s="4">
        <f ca="1">SUMIFS(operations[Amount],operations[Month],$B$11,operations[Category],expenses_3[[#This Row],[Category]])</f>
        <v>-9.5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SUMIFS(operations[Amount],operations[Bank],flow_3[[#This Row],[Bank]],operations[Product],flow_3[[#This Row],[Product]],operations[Month],$B$11)</f>
        <v>-24.49</v>
      </c>
      <c r="E7" s="6">
        <f ca="1">flow_3[[#This Row],[Opening balance]]+flow_3[[#This Row],[Operations]]</f>
        <v>175.51</v>
      </c>
      <c r="G7" s="5" t="s">
        <v>27</v>
      </c>
      <c r="H7" s="6">
        <f ca="1">SUMIFS(operations[Amount],operations[Month],$B$11,operations[Category],incomes_3[[#This Row],[Category]])</f>
        <v>0</v>
      </c>
      <c r="J7" t="s">
        <v>19</v>
      </c>
      <c r="K7" s="4">
        <f ca="1">SUMIFS(operations[Amount],operations[Month],$B$11,operations[Category],expenses_3[[#This Row],[Category]])</f>
        <v>-23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SUMIFS(operations[Amount],operations[Bank],flow_3[[#This Row],[Bank]],operations[Product],flow_3[[#This Row],[Product]],operations[Month],$B$11)</f>
        <v>-9.5</v>
      </c>
      <c r="E8" s="6">
        <f ca="1">flow_3[[#This Row],[Opening balance]]+flow_3[[#This Row],[Operations]]</f>
        <v>20.5</v>
      </c>
      <c r="G8" s="5" t="s">
        <v>38</v>
      </c>
      <c r="H8" s="6">
        <f ca="1">SUBTOTAL(109,incomes_3[Total])</f>
        <v>4655</v>
      </c>
      <c r="J8" t="s">
        <v>24</v>
      </c>
      <c r="K8" s="4">
        <f ca="1">SUMIFS(operations[Amount],operations[Month],$B$11,operations[Category],expenses_3[[#This Row],[Category]])</f>
        <v>-300</v>
      </c>
    </row>
    <row r="9" spans="1:11" x14ac:dyDescent="0.25">
      <c r="A9" s="5" t="s">
        <v>38</v>
      </c>
      <c r="B9" s="5"/>
      <c r="C9" s="6">
        <f ca="1">SUBTOTAL(109,flow_3[Opening balance])</f>
        <v>2940.5</v>
      </c>
      <c r="D9" s="6">
        <f ca="1">SUBTOTAL(109,flow_3[Operations])</f>
        <v>755.6099999999999</v>
      </c>
      <c r="E9" s="6">
        <f ca="1">SUBTOTAL(109,flow_3[Closing balance])</f>
        <v>3696.1099999999997</v>
      </c>
      <c r="J9" t="s">
        <v>23</v>
      </c>
      <c r="K9" s="4">
        <f ca="1">SUMIFS(operations[Amount],operations[Month],$B$11,operations[Category],expenses_3[[#This Row],[Category]])</f>
        <v>-79.5</v>
      </c>
    </row>
    <row r="10" spans="1:11" x14ac:dyDescent="0.25">
      <c r="J10" t="s">
        <v>16</v>
      </c>
      <c r="K10" s="4">
        <f ca="1">SUMIFS(operations[Amount],operations[Month],$B$11,operations[Category],expenses_3[[#This Row],[Category]])</f>
        <v>-82.5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3</v>
      </c>
      <c r="C11" s="8" t="str" cm="1">
        <f t="array" aca="1" ref="C11" ca="1">RIGHT(CELL("filename",A1),LEN(CELL("filename",A1))-FIND("]",CELL("filename",A1)))</f>
        <v>3</v>
      </c>
      <c r="J11" t="s">
        <v>38</v>
      </c>
      <c r="K11" s="4">
        <f ca="1">SUBTOTAL(109,expenses_3[Total])</f>
        <v>-3899.3900000000003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SUMIFS(operations[Amount],operations[Month],$B$11,operations[Type],balance_3[[#This Row],[Type]])</f>
        <v>-3899.39</v>
      </c>
    </row>
    <row r="15" spans="1:11" x14ac:dyDescent="0.25">
      <c r="A15" t="s">
        <v>33</v>
      </c>
      <c r="B15" s="4">
        <f ca="1">SUMIFS(operations[Amount],operations[Month],$B$11,operations[Type],balance_3[[#This Row],[Type]])</f>
        <v>4655</v>
      </c>
    </row>
    <row r="16" spans="1:11" x14ac:dyDescent="0.25">
      <c r="A16" t="s">
        <v>34</v>
      </c>
      <c r="B16" s="4">
        <f ca="1">SUMIFS(operations[Amount],operations[Month],$B$11,operations[Type],balance_3[[#This Row],[Type]])</f>
        <v>0</v>
      </c>
    </row>
    <row r="17" spans="1:2" x14ac:dyDescent="0.25">
      <c r="A17" t="s">
        <v>38</v>
      </c>
      <c r="B17" s="4">
        <f ca="1">SUBTOTAL(109,balance_3[Total])</f>
        <v>755.61000000000013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4700-55B1-4969-83CF-501192DC7A4C}">
  <dimension ref="A1:K17"/>
  <sheetViews>
    <sheetView zoomScaleNormal="100" workbookViewId="0">
      <selection activeCell="F4" sqref="F4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8.5703125" bestFit="1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 cm="1">
        <f t="array" aca="1" ref="C2" ca="1">INDIRECT("flow_"&amp;$B$11-1&amp;"[@[Closing balance]]")</f>
        <v>65</v>
      </c>
      <c r="D2" s="6">
        <f ca="1">SUMIFS(operations[Amount],operations[Bank],flow_2[[#This Row],[Bank]],operations[Product],flow_2[[#This Row],[Product]],operations[Month],$B$11)</f>
        <v>35</v>
      </c>
      <c r="E2" s="6">
        <f ca="1">flow_2[[#This Row],[Opening balance]]+flow_2[[#This Row],[Operations]]</f>
        <v>100</v>
      </c>
      <c r="G2" s="5" t="s">
        <v>25</v>
      </c>
      <c r="H2" s="6">
        <f ca="1">SUMIFS(operations[Amount],operations[Month],$B$11,operations[Category],incomes_2[[#This Row],[Category]])</f>
        <v>0</v>
      </c>
      <c r="J2" t="s">
        <v>18</v>
      </c>
      <c r="K2" s="4">
        <f ca="1">SUMIFS(operations[Amount],operations[Month],$B$11,operations[Category],expenses_2[[#This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SUMIFS(operations[Amount],operations[Bank],flow_2[[#This Row],[Bank]],operations[Product],flow_2[[#This Row],[Product]],operations[Month],$B$11)</f>
        <v>15</v>
      </c>
      <c r="E3" s="6">
        <f ca="1">flow_2[[#This Row],[Opening balance]]+flow_2[[#This Row],[Operations]]</f>
        <v>25.5</v>
      </c>
      <c r="G3" s="5" t="s">
        <v>28</v>
      </c>
      <c r="H3" s="6">
        <f ca="1">SUMIFS(operations[Amount],operations[Month],$B$11,operations[Category],incomes_2[[#This Row],[Category]])</f>
        <v>115</v>
      </c>
      <c r="J3" t="s">
        <v>22</v>
      </c>
      <c r="K3" s="4">
        <f ca="1">SUMIFS(operations[Amount],operations[Month],$B$11,operations[Category],expenses_2[[#This Row],[Category]])</f>
        <v>0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SUMIFS(operations[Amount],operations[Bank],flow_2[[#This Row],[Bank]],operations[Product],flow_2[[#This Row],[Product]],operations[Month],$B$11)</f>
        <v>2039.5</v>
      </c>
      <c r="E4" s="6">
        <f ca="1">flow_2[[#This Row],[Opening balance]]+flow_2[[#This Row],[Operations]]</f>
        <v>2639.5</v>
      </c>
      <c r="G4" s="5" t="s">
        <v>29</v>
      </c>
      <c r="H4" s="6">
        <f ca="1">SUMIFS(operations[Amount],operations[Month],$B$11,operations[Category],incomes_2[[#This Row],[Category]])</f>
        <v>0</v>
      </c>
      <c r="J4" t="s">
        <v>20</v>
      </c>
      <c r="K4" s="4">
        <f ca="1">SUMIFS(operations[Amount],operations[Month],$B$11,operations[Category],expenses_2[[#This Row],[Category]])</f>
        <v>-350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SUMIFS(operations[Amount],operations[Bank],flow_2[[#This Row],[Bank]],operations[Product],flow_2[[#This Row],[Product]],operations[Month],$B$11)</f>
        <v>175</v>
      </c>
      <c r="E5" s="6">
        <f ca="1">flow_2[[#This Row],[Opening balance]]+flow_2[[#This Row],[Operations]]</f>
        <v>175</v>
      </c>
      <c r="G5" s="5" t="s">
        <v>30</v>
      </c>
      <c r="H5" s="6">
        <f ca="1">SUMIFS(operations[Amount],operations[Month],$B$11,operations[Category],incomes_2[[#This Row],[Category]])</f>
        <v>1950</v>
      </c>
      <c r="J5" t="s">
        <v>17</v>
      </c>
      <c r="K5" s="4">
        <f ca="1">SUMIFS(operations[Amount],operations[Month],$B$11,operations[Category],expenses_2[[#This Row],[Category]])</f>
        <v>-405.5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SUMIFS(operations[Amount],operations[Bank],flow_2[[#This Row],[Bank]],operations[Product],flow_2[[#This Row],[Product]],operations[Month],$B$11)</f>
        <v>-400</v>
      </c>
      <c r="E6" s="6">
        <f ca="1">flow_2[[#This Row],[Opening balance]]+flow_2[[#This Row],[Operations]]</f>
        <v>1600</v>
      </c>
      <c r="G6" s="5" t="s">
        <v>26</v>
      </c>
      <c r="H6" s="6">
        <f ca="1">SUMIFS(operations[Amount],operations[Month],$B$11,operations[Category],incomes_2[[#This Row],[Category]])</f>
        <v>4500</v>
      </c>
      <c r="J6" t="s">
        <v>21</v>
      </c>
      <c r="K6" s="4">
        <f ca="1">SUMIFS(operations[Amount],operations[Month],$B$11,operations[Category],expenses_2[[#This Row],[Category]])</f>
        <v>-250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SUMIFS(operations[Amount],operations[Bank],flow_2[[#This Row],[Bank]],operations[Product],flow_2[[#This Row],[Product]],operations[Month],$B$11)</f>
        <v>100</v>
      </c>
      <c r="E7" s="6">
        <f ca="1">flow_2[[#This Row],[Opening balance]]+flow_2[[#This Row],[Operations]]</f>
        <v>300</v>
      </c>
      <c r="G7" s="5" t="s">
        <v>27</v>
      </c>
      <c r="H7" s="6">
        <f ca="1">SUMIFS(operations[Amount],operations[Month],$B$11,operations[Category],incomes_2[[#This Row],[Category]])</f>
        <v>0</v>
      </c>
      <c r="J7" t="s">
        <v>19</v>
      </c>
      <c r="K7" s="4">
        <f ca="1">SUMIFS(operations[Amount],operations[Month],$B$11,operations[Category],expenses_2[[#This Row],[Category]])</f>
        <v>-150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SUMIFS(operations[Amount],operations[Bank],flow_2[[#This Row],[Bank]],operations[Product],flow_2[[#This Row],[Product]],operations[Month],$B$11)</f>
        <v>500</v>
      </c>
      <c r="E8" s="6">
        <f ca="1">flow_2[[#This Row],[Opening balance]]+flow_2[[#This Row],[Operations]]</f>
        <v>530</v>
      </c>
      <c r="G8" s="5" t="s">
        <v>38</v>
      </c>
      <c r="H8" s="6">
        <f ca="1">SUBTOTAL(109,incomes_2[Total])</f>
        <v>6565</v>
      </c>
      <c r="J8" t="s">
        <v>24</v>
      </c>
      <c r="K8" s="4">
        <f ca="1">SUMIFS(operations[Amount],operations[Month],$B$11,operations[Category],expenses_2[[#This Row],[Category]])</f>
        <v>-765</v>
      </c>
    </row>
    <row r="9" spans="1:11" x14ac:dyDescent="0.25">
      <c r="A9" s="5" t="s">
        <v>38</v>
      </c>
      <c r="B9" s="5"/>
      <c r="C9" s="6">
        <f ca="1">SUBTOTAL(109,flow_2[Opening balance])</f>
        <v>2905.5</v>
      </c>
      <c r="D9" s="6">
        <f ca="1">SUBTOTAL(109,flow_2[Operations])</f>
        <v>2464.5</v>
      </c>
      <c r="E9" s="6">
        <f ca="1">SUBTOTAL(109,flow_2[Closing balance])</f>
        <v>5370</v>
      </c>
      <c r="J9" t="s">
        <v>23</v>
      </c>
      <c r="K9" s="4">
        <f ca="1">SUMIFS(operations[Amount],operations[Month],$B$11,operations[Category],expenses_2[[#This Row],[Category]])</f>
        <v>-100</v>
      </c>
    </row>
    <row r="10" spans="1:11" x14ac:dyDescent="0.25">
      <c r="J10" t="s">
        <v>16</v>
      </c>
      <c r="K10" s="4">
        <f ca="1">SUMIFS(operations[Amount],operations[Month],$B$11,operations[Category],expenses_2[[#This Row],[Category]])</f>
        <v>-80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2</v>
      </c>
      <c r="C11" s="8" t="str" cm="1">
        <f t="array" aca="1" ref="C11" ca="1">RIGHT(CELL("filename",A1),LEN(CELL("filename",A1))-FIND("]",CELL("filename",A1)))</f>
        <v>2</v>
      </c>
      <c r="J11" t="s">
        <v>38</v>
      </c>
      <c r="K11" s="4">
        <f ca="1">SUBTOTAL(109,expenses_2[Total])</f>
        <v>-4100.5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SUMIFS(operations[Amount],operations[Month],$B$11,operations[Type],balance_1[[#This Row],[Type]])</f>
        <v>-4100.5</v>
      </c>
    </row>
    <row r="15" spans="1:11" x14ac:dyDescent="0.25">
      <c r="A15" t="s">
        <v>33</v>
      </c>
      <c r="B15" s="4">
        <f ca="1">SUMIFS(operations[Amount],operations[Month],$B$11,operations[Type],balance_1[[#This Row],[Type]])</f>
        <v>6565</v>
      </c>
    </row>
    <row r="16" spans="1:11" x14ac:dyDescent="0.25">
      <c r="A16" t="s">
        <v>34</v>
      </c>
      <c r="B16" s="4">
        <f ca="1">SUMIFS(operations[Amount],operations[Month],$B$11,operations[Type],balance_1[[#This Row],[Type]])</f>
        <v>0</v>
      </c>
    </row>
    <row r="17" spans="1:2" x14ac:dyDescent="0.25">
      <c r="A17" t="s">
        <v>38</v>
      </c>
      <c r="B17" s="4">
        <f ca="1">SUBTOTAL(109,balance_1[Total])</f>
        <v>2464.5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opLeftCell="A209" zoomScaleNormal="100" workbookViewId="0">
      <selection activeCell="O2" sqref="O2"/>
    </sheetView>
  </sheetViews>
  <sheetFormatPr defaultColWidth="8.85546875" defaultRowHeight="15" x14ac:dyDescent="0.25"/>
  <cols>
    <col min="1" max="1" width="11.85546875" bestFit="1" customWidth="1"/>
    <col min="2" max="2" width="10.7109375" bestFit="1" customWidth="1"/>
    <col min="3" max="3" width="18.42578125" bestFit="1" customWidth="1"/>
    <col min="4" max="4" width="16" bestFit="1" customWidth="1"/>
    <col min="5" max="5" width="12.7109375" customWidth="1"/>
    <col min="6" max="6" width="11.7109375" bestFit="1" customWidth="1"/>
    <col min="7" max="7" width="8.71093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Row],[Category]],categories[Category],categories[Type],"",0,1)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Row],[Category]],categories[Category],categories[Type],"",0,1)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Row],[Category]],categories[Category],categories[Type],"",0,1)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Row],[Category]],categories[Category],categories[Type],"",0,1)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Row],[Category]],categories[Category],categories[Type],"",0,1)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Row],[Category]],categories[Category],categories[Type],"",0,1)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Row],[Category]],categories[Category],categories[Type],"",0,1)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Row],[Category]],categories[Category],categories[Type],"",0,1)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Row],[Category]],categories[Category],categories[Type],"",0,1)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Row],[Category]],categories[Category],categories[Type],"",0,1)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Row],[Category]],categories[Category],categories[Type],"",0,1)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Row],[Category]],categories[Category],categories[Type],"",0,1)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Row],[Category]],categories[Category],categories[Type],"",0,1)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Row],[Category]],categories[Category],categories[Type],"",0,1)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Row],[Category]],categories[Category],categories[Type],"",0,1)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Row],[Category]],categories[Category],categories[Type],"",0,1)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Row],[Category]],categories[Category],categories[Type],"",0,1)</f>
        <v>Transfert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Row],[Category]],categories[Category],categories[Type],"",0,1)</f>
        <v>Transfert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Row],[Category]],categories[Category],categories[Type],"",0,1)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Row],[Category]],categories[Category],categories[Type],"",0,1)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Row],[Category]],categories[Category],categories[Type],"",0,1)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Row],[Category]],categories[Category],categories[Type],"",0,1)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Row],[Category]],categories[Category],categories[Type],"",0,1)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Row],[Category]],categories[Category],categories[Type],"",0,1)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Row],[Category]],categories[Category],categories[Type],"",0,1)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Row],[Category]],categories[Category],categories[Type],"",0,1)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Row],[Category]],categories[Category],categories[Type],"",0,1)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Row],[Category]],categories[Category],categories[Type],"",0,1)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Row],[Category]],categories[Category],categories[Type],"",0,1)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Row],[Category]],categories[Category],categories[Type],"",0,1)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Row],[Category]],categories[Category],categories[Type],"",0,1)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Row],[Category]],categories[Category],categories[Type],"",0,1)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Row],[Category]],categories[Category],categories[Type],"",0,1)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Row],[Category]],categories[Category],categories[Type],"",0,1)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Row],[Category]],categories[Category],categories[Type],"",0,1)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Row],[Category]],categories[Category],categories[Type],"",0,1)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Row],[Category]],categories[Category],categories[Type],"",0,1)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Row],[Category]],categories[Category],categories[Type],"",0,1)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Row],[Category]],categories[Category],categories[Type],"",0,1)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Row],[Category]],categories[Category],categories[Type],"",0,1)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Row],[Category]],categories[Category],categories[Type],"",0,1)</f>
        <v>Transfert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Row],[Category]],categories[Category],categories[Type],"",0,1)</f>
        <v>Transfert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Row],[Category]],categories[Category],categories[Type],"",0,1)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Row],[Category]],categories[Category],categories[Type],"",0,1)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Row],[Category]],categories[Category],categories[Type],"",0,1)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Row],[Category]],categories[Category],categories[Type],"",0,1)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Row],[Category]],categories[Category],categories[Type],"",0,1)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Row],[Category]],categories[Category],categories[Type],"",0,1)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Row],[Category]],categories[Category],categories[Type],"",0,1)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Row],[Category]],categories[Category],categories[Type],"",0,1)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Row],[Category]],categories[Category],categories[Type],"",0,1)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Row],[Category]],categories[Category],categories[Type],"",0,1)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Row],[Category]],categories[Category],categories[Type],"",0,1)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Row],[Category]],categories[Category],categories[Type],"",0,1)</f>
        <v>Transfert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Row],[Category]],categories[Category],categories[Type],"",0,1)</f>
        <v>Transfert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Row],[Category]],categories[Category],categories[Type],"",0,1)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Row],[Category]],categories[Category],categories[Type],"",0,1)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Row],[Category]],categories[Category],categories[Type],"",0,1)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Row],[Category]],categories[Category],categories[Type],"",0,1)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Row],[Category]],categories[Category],categories[Type],"",0,1)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Row],[Category]],categories[Category],categories[Type],"",0,1)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Row],[Category]],categories[Category],categories[Type],"",0,1)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Row],[Category]],categories[Category],categories[Type],"",0,1)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Row],[Category]],categories[Category],categories[Type],"",0,1)</f>
        <v>Transfert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Row],[Category]],categories[Category],categories[Type],"",0,1)</f>
        <v>Transfert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Row],[Category]],categories[Category],categories[Type],"",0,1)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Row],[Category]],categories[Category],categories[Type],"",0,1)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Row],[Category]],categories[Category],categories[Type],"",0,1)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Row],[Category]],categories[Category],categories[Type],"",0,1)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Row],[Category]],categories[Category],categories[Type],"",0,1)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Row],[Category]],categories[Category],categories[Type],"",0,1)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Row],[Category]],categories[Category],categories[Type],"",0,1)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Row],[Category]],categories[Category],categories[Type],"",0,1)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Row],[Category]],categories[Category],categories[Type],"",0,1)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Row],[Category]],categories[Category],categories[Type],"",0,1)</f>
        <v>Transfert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Row],[Category]],categories[Category],categories[Type],"",0,1)</f>
        <v>Transfert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Row],[Category]],categories[Category],categories[Type],"",0,1)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Row],[Category]],categories[Category],categories[Type],"",0,1)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Row],[Category]],categories[Category],categories[Type],"",0,1)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Row],[Category]],categories[Category],categories[Type],"",0,1)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Row],[Category]],categories[Category],categories[Type],"",0,1)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Row],[Category]],categories[Category],categories[Type],"",0,1)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Row],[Category]],categories[Category],categories[Type],"",0,1)</f>
        <v>Transfert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Row],[Category]],categories[Category],categories[Type],"",0,1)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_xlfn.XLOOKUP(operations[[#This Row],[Category]],categories[Category],categories[Type],"",0,1)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_xlfn.XLOOKUP(operations[[#This Row],[Category]],categories[Category],categories[Type],"",0,1)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_xlfn.XLOOKUP(operations[[#This Row],[Category]],categories[Category],categories[Type],"",0,1)</f>
        <v>Transfert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_xlfn.XLOOKUP(operations[[#This Row],[Category]],categories[Category],categories[Type],"",0,1)</f>
        <v>Transfert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_xlfn.XLOOKUP(operations[[#This Row],[Category]],categories[Category],categories[Type],"",0,1)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_xlfn.XLOOKUP(operations[[#This Row],[Category]],categories[Category],categories[Type],"",0,1)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_xlfn.XLOOKUP(operations[[#This Row],[Category]],categories[Category],categories[Type],"",0,1)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_xlfn.XLOOKUP(operations[[#This Row],[Category]],categories[Category],categories[Type],"",0,1)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_xlfn.XLOOKUP(operations[[#This Row],[Category]],categories[Category],categories[Type],"",0,1)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_xlfn.XLOOKUP(operations[[#This Row],[Category]],categories[Category],categories[Type],"",0,1)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_xlfn.XLOOKUP(operations[[#This Row],[Category]],categories[Category],categories[Type],"",0,1)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_xlfn.XLOOKUP(operations[[#This Row],[Category]],categories[Category],categories[Type],"",0,1)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_xlfn.XLOOKUP(operations[[#This Row],[Category]],categories[Category],categories[Type],"",0,1)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_xlfn.XLOOKUP(operations[[#This Row],[Category]],categories[Category],categories[Type],"",0,1)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_xlfn.XLOOKUP(operations[[#This Row],[Category]],categories[Category],categories[Type],"",0,1)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_xlfn.XLOOKUP(operations[[#This Row],[Category]],categories[Category],categories[Type],"",0,1)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_xlfn.XLOOKUP(operations[[#This Row],[Category]],categories[Category],categories[Type],"",0,1)</f>
        <v>Transfert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_xlfn.XLOOKUP(operations[[#This Row],[Category]],categories[Category],categories[Type],"",0,1)</f>
        <v>Transfert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_xlfn.XLOOKUP(operations[[#This Row],[Category]],categories[Category],categories[Type],"",0,1)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_xlfn.XLOOKUP(operations[[#This Row],[Category]],categories[Category],categories[Type],"",0,1)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_xlfn.XLOOKUP(operations[[#This Row],[Category]],categories[Category],categories[Type],"",0,1)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_xlfn.XLOOKUP(operations[[#This Row],[Category]],categories[Category],categories[Type],"",0,1)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_xlfn.XLOOKUP(operations[[#This Row],[Category]],categories[Category],categories[Type],"",0,1)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_xlfn.XLOOKUP(operations[[#This Row],[Category]],categories[Category],categories[Type],"",0,1)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_xlfn.XLOOKUP(operations[[#This Row],[Category]],categories[Category],categories[Type],"",0,1)</f>
        <v>Transfert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_xlfn.XLOOKUP(operations[[#This Row],[Category]],categories[Category],categories[Type],"",0,1)</f>
        <v>Transfert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_xlfn.XLOOKUP(operations[[#This Row],[Category]],categories[Category],categories[Type],"",0,1)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_xlfn.XLOOKUP(operations[[#This Row],[Category]],categories[Category],categories[Type],"",0,1)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_xlfn.XLOOKUP(operations[[#This Row],[Category]],categories[Category],categories[Type],"",0,1)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_xlfn.XLOOKUP(operations[[#This Row],[Category]],categories[Category],categories[Type],"",0,1)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_xlfn.XLOOKUP(operations[[#This Row],[Category]],categories[Category],categories[Type],"",0,1)</f>
        <v>Transfert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_xlfn.XLOOKUP(operations[[#This Row],[Category]],categories[Category],categories[Type],"",0,1)</f>
        <v>Transfert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_xlfn.XLOOKUP(operations[[#This Row],[Category]],categories[Category],categories[Type],"",0,1)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_xlfn.XLOOKUP(operations[[#This Row],[Category]],categories[Category],categories[Type],"",0,1)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_xlfn.XLOOKUP(operations[[#This Row],[Category]],categories[Category],categories[Type],"",0,1)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_xlfn.XLOOKUP(operations[[#This Row],[Category]],categories[Category],categories[Type],"",0,1)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_xlfn.XLOOKUP(operations[[#This Row],[Category]],categories[Category],categories[Type],"",0,1)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_xlfn.XLOOKUP(operations[[#This Row],[Category]],categories[Category],categories[Type],"",0,1)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_xlfn.XLOOKUP(operations[[#This Row],[Category]],categories[Category],categories[Type],"",0,1)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_xlfn.XLOOKUP(operations[[#This Row],[Category]],categories[Category],categories[Type],"",0,1)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_xlfn.XLOOKUP(operations[[#This Row],[Category]],categories[Category],categories[Type],"",0,1)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_xlfn.XLOOKUP(operations[[#This Row],[Category]],categories[Category],categories[Type],"",0,1)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_xlfn.XLOOKUP(operations[[#This Row],[Category]],categories[Category],categories[Type],"",0,1)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_xlfn.XLOOKUP(operations[[#This Row],[Category]],categories[Category],categories[Type],"",0,1)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_xlfn.XLOOKUP(operations[[#This Row],[Category]],categories[Category],categories[Type],"",0,1)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_xlfn.XLOOKUP(operations[[#This Row],[Category]],categories[Category],categories[Type],"",0,1)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Row],[Category]],categories[Category],categories[Type],"",0,1)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Row],[Category]],categories[Category],categories[Type],"",0,1)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_xlfn.XLOOKUP(operations[[#This Row],[Category]],categories[Category],categories[Type],"",0,1)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_xlfn.XLOOKUP(operations[[#This Row],[Category]],categories[Category],categories[Type],"",0,1)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_xlfn.XLOOKUP(operations[[#This Row],[Category]],categories[Category],categories[Type],"",0,1)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_xlfn.XLOOKUP(operations[[#This Row],[Category]],categories[Category],categories[Type],"",0,1)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_xlfn.XLOOKUP(operations[[#This Row],[Category]],categories[Category],categories[Type],"",0,1)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Row],[Category]],categories[Category],categories[Type],"",0,1)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_xlfn.XLOOKUP(operations[[#This Row],[Category]],categories[Category],categories[Type],"",0,1)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_xlfn.XLOOKUP(operations[[#This Row],[Category]],categories[Category],categories[Type],"",0,1)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_xlfn.XLOOKUP(operations[[#This Row],[Category]],categories[Category],categories[Type],"",0,1)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_xlfn.XLOOKUP(operations[[#This Row],[Category]],categories[Category],categories[Type],"",0,1)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_xlfn.XLOOKUP(operations[[#This Row],[Category]],categories[Category],categories[Type],"",0,1)</f>
        <v>Expense</v>
      </c>
      <c r="F207" s="3">
        <v>45656</v>
      </c>
      <c r="G207" s="1">
        <f>MONTH(operations[[#This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A5E59C-993F-804D-8C57-8E4EE929F149}">
          <x14:formula1>
            <xm:f>_xlfn._TRO_LEADING(Dicionary!$A$2:$A$22)</xm:f>
          </x14:formula1>
          <xm:sqref>D2:D1048576</xm:sqref>
        </x14:dataValidation>
        <x14:dataValidation type="list" allowBlank="1" showInputMessage="1" showErrorMessage="1" xr:uid="{1AA4003D-4012-DC43-AE9B-D5D8326BD028}">
          <x14:formula1>
            <xm:f>Dicionary!$I$1:$K$1</xm:f>
          </x14:formula1>
          <xm:sqref>B2:B1048576</xm:sqref>
        </x14:dataValidation>
        <x14:dataValidation type="list" allowBlank="1" showInputMessage="1" showErrorMessage="1" xr:uid="{F63B9879-6BC3-8741-926A-51C97D860905}">
          <x14:formula1>
            <xm:f>CHOOSE(MATCH(B2,Dicionary!$I$1:$K$1,0),_xlfn._TRO_TRAILING(Dicionary!$I$2:$I$8),_xlfn._TRO_TRAILING(Dicionary!$J$2:$J$8),_xlfn._TRO_TRAILING(Dicionary!$K$2:$K$8))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K17"/>
  <sheetViews>
    <sheetView zoomScaleNormal="100" workbookViewId="0">
      <selection activeCell="I7" sqref="I7"/>
    </sheetView>
  </sheetViews>
  <sheetFormatPr defaultColWidth="8.85546875" defaultRowHeight="15" x14ac:dyDescent="0.25"/>
  <cols>
    <col min="1" max="1" width="16" bestFit="1" customWidth="1"/>
    <col min="4" max="4" width="11" customWidth="1"/>
    <col min="6" max="6" width="10.7109375" bestFit="1" customWidth="1"/>
    <col min="7" max="7" width="18.42578125" bestFit="1" customWidth="1"/>
    <col min="9" max="9" width="13.140625" bestFit="1" customWidth="1"/>
    <col min="10" max="10" width="15.140625" bestFit="1" customWidth="1"/>
  </cols>
  <sheetData>
    <row r="1" spans="1:11" x14ac:dyDescent="0.25">
      <c r="A1" s="10" t="s">
        <v>3</v>
      </c>
      <c r="B1" s="11" t="s">
        <v>4</v>
      </c>
      <c r="F1" s="10" t="s">
        <v>0</v>
      </c>
      <c r="G1" s="10" t="s">
        <v>2</v>
      </c>
      <c r="I1" s="12" t="s">
        <v>11</v>
      </c>
      <c r="J1" s="12" t="s">
        <v>7</v>
      </c>
      <c r="K1" s="12" t="s">
        <v>13</v>
      </c>
    </row>
    <row r="2" spans="1:11" x14ac:dyDescent="0.25">
      <c r="A2" s="10" t="s">
        <v>18</v>
      </c>
      <c r="B2" s="11" t="s">
        <v>32</v>
      </c>
      <c r="F2" s="10" t="s">
        <v>11</v>
      </c>
      <c r="G2" s="10" t="s">
        <v>8</v>
      </c>
      <c r="I2" s="12" t="s">
        <v>8</v>
      </c>
      <c r="J2" s="12" t="s">
        <v>8</v>
      </c>
      <c r="K2" s="12" t="s">
        <v>15</v>
      </c>
    </row>
    <row r="3" spans="1:11" x14ac:dyDescent="0.25">
      <c r="A3" s="10" t="s">
        <v>22</v>
      </c>
      <c r="B3" s="11" t="s">
        <v>32</v>
      </c>
      <c r="F3" s="10" t="s">
        <v>11</v>
      </c>
      <c r="G3" s="10" t="s">
        <v>12</v>
      </c>
      <c r="I3" s="12" t="s">
        <v>12</v>
      </c>
      <c r="J3" s="12" t="s">
        <v>9</v>
      </c>
      <c r="K3" s="12" t="s">
        <v>14</v>
      </c>
    </row>
    <row r="4" spans="1:11" x14ac:dyDescent="0.25">
      <c r="A4" s="10" t="s">
        <v>20</v>
      </c>
      <c r="B4" s="11" t="s">
        <v>32</v>
      </c>
      <c r="F4" s="10" t="s">
        <v>7</v>
      </c>
      <c r="G4" s="10" t="s">
        <v>8</v>
      </c>
      <c r="I4" s="13"/>
      <c r="J4" s="12" t="s">
        <v>10</v>
      </c>
      <c r="K4" s="13"/>
    </row>
    <row r="5" spans="1:11" x14ac:dyDescent="0.25">
      <c r="A5" s="10" t="s">
        <v>17</v>
      </c>
      <c r="B5" s="11" t="s">
        <v>32</v>
      </c>
      <c r="F5" s="10" t="s">
        <v>7</v>
      </c>
      <c r="G5" s="10" t="s">
        <v>9</v>
      </c>
      <c r="I5" s="13"/>
      <c r="J5" s="13"/>
      <c r="K5" s="13"/>
    </row>
    <row r="6" spans="1:11" x14ac:dyDescent="0.25">
      <c r="A6" s="10" t="s">
        <v>21</v>
      </c>
      <c r="B6" s="11" t="s">
        <v>32</v>
      </c>
      <c r="F6" s="10" t="s">
        <v>7</v>
      </c>
      <c r="G6" s="10" t="s">
        <v>10</v>
      </c>
      <c r="I6" s="13"/>
      <c r="J6" s="13"/>
      <c r="K6" s="13"/>
    </row>
    <row r="7" spans="1:11" x14ac:dyDescent="0.25">
      <c r="A7" s="10" t="s">
        <v>19</v>
      </c>
      <c r="B7" s="11" t="s">
        <v>32</v>
      </c>
      <c r="F7" s="10" t="s">
        <v>13</v>
      </c>
      <c r="G7" s="10" t="s">
        <v>15</v>
      </c>
      <c r="I7" s="13"/>
      <c r="J7" s="13"/>
      <c r="K7" s="13"/>
    </row>
    <row r="8" spans="1:11" x14ac:dyDescent="0.25">
      <c r="A8" s="10" t="s">
        <v>24</v>
      </c>
      <c r="B8" s="11" t="s">
        <v>32</v>
      </c>
      <c r="F8" s="10" t="s">
        <v>13</v>
      </c>
      <c r="G8" s="10" t="s">
        <v>14</v>
      </c>
      <c r="I8" s="13"/>
      <c r="J8" s="13"/>
      <c r="K8" s="13"/>
    </row>
    <row r="9" spans="1:11" x14ac:dyDescent="0.25">
      <c r="A9" s="10" t="s">
        <v>23</v>
      </c>
      <c r="B9" s="11" t="s">
        <v>32</v>
      </c>
      <c r="I9" s="11"/>
      <c r="J9" s="11"/>
      <c r="K9" s="11"/>
    </row>
    <row r="10" spans="1:11" x14ac:dyDescent="0.25">
      <c r="A10" s="10" t="s">
        <v>16</v>
      </c>
      <c r="B10" s="11" t="s">
        <v>32</v>
      </c>
    </row>
    <row r="11" spans="1:11" x14ac:dyDescent="0.25">
      <c r="A11" s="10" t="s">
        <v>25</v>
      </c>
      <c r="B11" s="11" t="s">
        <v>33</v>
      </c>
    </row>
    <row r="12" spans="1:11" x14ac:dyDescent="0.25">
      <c r="A12" s="10" t="s">
        <v>28</v>
      </c>
      <c r="B12" s="11" t="s">
        <v>33</v>
      </c>
    </row>
    <row r="13" spans="1:11" x14ac:dyDescent="0.25">
      <c r="A13" s="10" t="s">
        <v>29</v>
      </c>
      <c r="B13" s="11" t="s">
        <v>33</v>
      </c>
    </row>
    <row r="14" spans="1:11" x14ac:dyDescent="0.25">
      <c r="A14" s="10" t="s">
        <v>30</v>
      </c>
      <c r="B14" s="11" t="s">
        <v>33</v>
      </c>
    </row>
    <row r="15" spans="1:11" x14ac:dyDescent="0.25">
      <c r="A15" s="10" t="s">
        <v>26</v>
      </c>
      <c r="B15" s="11" t="s">
        <v>33</v>
      </c>
    </row>
    <row r="16" spans="1:11" x14ac:dyDescent="0.25">
      <c r="A16" s="10" t="s">
        <v>27</v>
      </c>
      <c r="B16" s="11" t="s">
        <v>33</v>
      </c>
    </row>
    <row r="17" spans="1:2" x14ac:dyDescent="0.25">
      <c r="A17" s="10" t="s">
        <v>31</v>
      </c>
      <c r="B17" s="11" t="s">
        <v>34</v>
      </c>
    </row>
  </sheetData>
  <dataValidations count="1">
    <dataValidation type="list" allowBlank="1" showInputMessage="1" showErrorMessage="1" sqref="B1:B1048576" xr:uid="{D5592ECE-06AF-41BF-B12A-A053D0FCCA0B}">
      <formula1>"Income,Transfert, Expense"</formula1>
    </dataValidation>
  </dataValidations>
  <pageMargins left="0.7" right="0.7" top="0.75" bottom="0.75" header="0.3" footer="0.3"/>
  <pageSetup paperSize="9" orientation="portrait" horizontalDpi="300" verticalDpi="0" copies="0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B1B5-5F98-4F55-B062-7B3020D9074B}">
  <dimension ref="A1:K17"/>
  <sheetViews>
    <sheetView tabSelected="1" zoomScaleNormal="100" workbookViewId="0">
      <selection activeCell="C32" sqref="C3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5.710937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s="5" t="s">
        <v>0</v>
      </c>
      <c r="B1" s="5" t="s">
        <v>2</v>
      </c>
      <c r="C1" s="6" t="s">
        <v>37</v>
      </c>
      <c r="D1" s="6" t="s">
        <v>35</v>
      </c>
      <c r="E1" s="6" t="s">
        <v>36</v>
      </c>
      <c r="G1" s="5" t="s">
        <v>3</v>
      </c>
      <c r="H1" s="5" t="s">
        <v>38</v>
      </c>
      <c r="J1" t="s">
        <v>3</v>
      </c>
      <c r="K1" t="s">
        <v>38</v>
      </c>
    </row>
    <row r="2" spans="1:11" x14ac:dyDescent="0.25">
      <c r="A2" s="5" t="s">
        <v>11</v>
      </c>
      <c r="B2" s="5" t="s">
        <v>8</v>
      </c>
      <c r="C2" s="6">
        <v>100</v>
      </c>
      <c r="D2" s="6">
        <f ca="1">SUMIFS(operations[Amount],operations[Bank],flow_1[[#This Row],[Bank]],operations[Product],flow_1[[#This Row],[Product]],operations[Month],$B$11)</f>
        <v>-35</v>
      </c>
      <c r="E2" s="6">
        <f ca="1">flow_1[[#This Row],[Opening balance]]+flow_1[[#This Row],[Operations]]</f>
        <v>65</v>
      </c>
      <c r="G2" s="5" t="s">
        <v>25</v>
      </c>
      <c r="H2" s="6">
        <f ca="1">SUMIFS(operations[Amount],operations[Month],$B$11,operations[Category],incomes_1[[#This Row],[Category]])</f>
        <v>250</v>
      </c>
      <c r="J2" t="s">
        <v>18</v>
      </c>
      <c r="K2" s="4">
        <f ca="1">SUMIFS(operations[Amount],operations[Month],$B$11,operations[Category],expenses_1[[#This Row],[Category]])</f>
        <v>-2000</v>
      </c>
    </row>
    <row r="3" spans="1:11" x14ac:dyDescent="0.25">
      <c r="A3" s="5" t="s">
        <v>11</v>
      </c>
      <c r="B3" s="5" t="s">
        <v>12</v>
      </c>
      <c r="C3" s="6">
        <v>10.5</v>
      </c>
      <c r="D3" s="6">
        <f ca="1">SUMIFS(operations[Amount],operations[Bank],flow_1[[#This Row],[Bank]],operations[Product],flow_1[[#This Row],[Product]],operations[Month],$B$11)</f>
        <v>255.5</v>
      </c>
      <c r="E3" s="6">
        <f ca="1">flow_1[[#This Row],[Opening balance]]+flow_1[[#This Row],[Operations]]</f>
        <v>266</v>
      </c>
      <c r="G3" s="5" t="s">
        <v>28</v>
      </c>
      <c r="H3" s="6">
        <f ca="1">SUMIFS(operations[Amount],operations[Month],$B$11,operations[Category],incomes_1[[#This Row],[Category]])</f>
        <v>105.5</v>
      </c>
      <c r="J3" t="s">
        <v>22</v>
      </c>
      <c r="K3" s="4">
        <f ca="1">SUMIFS(operations[Amount],operations[Month],$B$11,operations[Category],expenses_1[[#This Row],[Category]])</f>
        <v>-80</v>
      </c>
    </row>
    <row r="4" spans="1:11" x14ac:dyDescent="0.25">
      <c r="A4" s="5" t="s">
        <v>7</v>
      </c>
      <c r="B4" s="5" t="s">
        <v>8</v>
      </c>
      <c r="C4" s="6">
        <v>600</v>
      </c>
      <c r="D4" s="6">
        <f ca="1">SUMIFS(operations[Amount],operations[Bank],flow_1[[#This Row],[Bank]],operations[Product],flow_1[[#This Row],[Product]],operations[Month],$B$11)</f>
        <v>1100</v>
      </c>
      <c r="E4" s="6">
        <f ca="1">flow_1[[#This Row],[Opening balance]]+flow_1[[#This Row],[Operations]]</f>
        <v>1700</v>
      </c>
      <c r="G4" s="5" t="s">
        <v>29</v>
      </c>
      <c r="H4" s="6">
        <f ca="1">SUMIFS(operations[Amount],operations[Month],$B$11,operations[Category],incomes_1[[#This Row],[Category]])</f>
        <v>0</v>
      </c>
      <c r="J4" t="s">
        <v>20</v>
      </c>
      <c r="K4" s="4">
        <f ca="1">SUMIFS(operations[Amount],operations[Month],$B$11,operations[Category],expenses_1[[#This Row],[Category]])</f>
        <v>-85</v>
      </c>
    </row>
    <row r="5" spans="1:11" x14ac:dyDescent="0.25">
      <c r="A5" s="5" t="s">
        <v>7</v>
      </c>
      <c r="B5" s="5" t="s">
        <v>9</v>
      </c>
      <c r="C5" s="6">
        <v>0</v>
      </c>
      <c r="D5" s="6">
        <f ca="1">SUMIFS(operations[Amount],operations[Bank],flow_1[[#This Row],[Bank]],operations[Product],flow_1[[#This Row],[Product]],operations[Month],$B$11)</f>
        <v>-175</v>
      </c>
      <c r="E5" s="6">
        <f ca="1">flow_1[[#This Row],[Opening balance]]+flow_1[[#This Row],[Operations]]</f>
        <v>-175</v>
      </c>
      <c r="G5" s="5" t="s">
        <v>30</v>
      </c>
      <c r="H5" s="6">
        <f ca="1">SUMIFS(operations[Amount],operations[Month],$B$11,operations[Category],incomes_1[[#This Row],[Category]])</f>
        <v>800</v>
      </c>
      <c r="J5" t="s">
        <v>17</v>
      </c>
      <c r="K5" s="4">
        <f ca="1">SUMIFS(operations[Amount],operations[Month],$B$11,operations[Category],expenses_1[[#This Row],[Category]])</f>
        <v>-1715</v>
      </c>
    </row>
    <row r="6" spans="1:11" x14ac:dyDescent="0.25">
      <c r="A6" s="5" t="s">
        <v>7</v>
      </c>
      <c r="B6" s="5" t="s">
        <v>10</v>
      </c>
      <c r="C6">
        <v>2000</v>
      </c>
      <c r="D6" s="6">
        <f ca="1">SUMIFS(operations[Amount],operations[Bank],flow_1[[#This Row],[Bank]],operations[Product],flow_1[[#This Row],[Product]],operations[Month],$B$11)</f>
        <v>-400</v>
      </c>
      <c r="E6" s="6">
        <f ca="1">flow_1[[#This Row],[Opening balance]]+flow_1[[#This Row],[Operations]]</f>
        <v>1600</v>
      </c>
      <c r="G6" s="5" t="s">
        <v>26</v>
      </c>
      <c r="H6" s="6">
        <f ca="1">SUMIFS(operations[Amount],operations[Month],$B$11,operations[Category],incomes_1[[#This Row],[Category]])</f>
        <v>4500</v>
      </c>
      <c r="J6" t="s">
        <v>21</v>
      </c>
      <c r="K6" s="4">
        <f ca="1">SUMIFS(operations[Amount],operations[Month],$B$11,operations[Category],expenses_1[[#This Row],[Category]])</f>
        <v>-100</v>
      </c>
    </row>
    <row r="7" spans="1:11" x14ac:dyDescent="0.25">
      <c r="A7" s="5" t="s">
        <v>13</v>
      </c>
      <c r="B7" s="5" t="s">
        <v>15</v>
      </c>
      <c r="C7" s="6">
        <v>200</v>
      </c>
      <c r="D7" s="6">
        <f ca="1">SUMIFS(operations[Amount],operations[Bank],flow_1[[#This Row],[Bank]],operations[Product],flow_1[[#This Row],[Product]],operations[Month],$B$11)</f>
        <v>-50</v>
      </c>
      <c r="E7" s="6">
        <f ca="1">flow_1[[#This Row],[Opening balance]]+flow_1[[#This Row],[Operations]]</f>
        <v>150</v>
      </c>
      <c r="G7" s="5" t="s">
        <v>27</v>
      </c>
      <c r="H7" s="6">
        <f ca="1">SUMIFS(operations[Amount],operations[Month],$B$11,operations[Category],incomes_1[[#This Row],[Category]])</f>
        <v>0</v>
      </c>
      <c r="J7" t="s">
        <v>19</v>
      </c>
      <c r="K7" s="4">
        <f ca="1">SUMIFS(operations[Amount],operations[Month],$B$11,operations[Category],expenses_1[[#This Row],[Category]])</f>
        <v>-150</v>
      </c>
    </row>
    <row r="8" spans="1:11" x14ac:dyDescent="0.25">
      <c r="A8" s="5" t="s">
        <v>13</v>
      </c>
      <c r="B8" s="5" t="s">
        <v>14</v>
      </c>
      <c r="C8" s="6">
        <v>30</v>
      </c>
      <c r="D8" s="6">
        <f ca="1">SUMIFS(operations[Amount],operations[Bank],flow_1[[#This Row],[Bank]],operations[Product],flow_1[[#This Row],[Product]],operations[Month],$B$11)</f>
        <v>150</v>
      </c>
      <c r="E8" s="6">
        <f ca="1">flow_1[[#This Row],[Opening balance]]+flow_1[[#This Row],[Operations]]</f>
        <v>180</v>
      </c>
      <c r="G8" s="5" t="s">
        <v>38</v>
      </c>
      <c r="H8" s="6">
        <f ca="1">SUBTOTAL(109,incomes_1[Total])</f>
        <v>5655.5</v>
      </c>
      <c r="J8" t="s">
        <v>24</v>
      </c>
      <c r="K8" s="4">
        <f ca="1">SUMIFS(operations[Amount],operations[Month],$B$11,operations[Category],expenses_1[[#This Row],[Category]])</f>
        <v>-500</v>
      </c>
    </row>
    <row r="9" spans="1:11" x14ac:dyDescent="0.25">
      <c r="A9" s="5" t="s">
        <v>38</v>
      </c>
      <c r="B9" s="5"/>
      <c r="C9" s="6">
        <f>SUBTOTAL(109,flow_1[Opening balance])</f>
        <v>2940.5</v>
      </c>
      <c r="D9" s="6">
        <f ca="1">SUBTOTAL(109,flow_1[Operations])</f>
        <v>845.5</v>
      </c>
      <c r="E9" s="6">
        <f ca="1">SUBTOTAL(109,flow_1[Closing balance])</f>
        <v>3786</v>
      </c>
      <c r="J9" t="s">
        <v>23</v>
      </c>
      <c r="K9" s="4">
        <f ca="1">SUMIFS(operations[Amount],operations[Month],$B$11,operations[Category],expenses_1[[#This Row],[Category]])</f>
        <v>-100</v>
      </c>
    </row>
    <row r="10" spans="1:11" x14ac:dyDescent="0.25">
      <c r="J10" t="s">
        <v>16</v>
      </c>
      <c r="K10" s="4">
        <f ca="1">SUMIFS(operations[Amount],operations[Month],$B$11,operations[Category],expenses_1[[#This Row],[Category]])</f>
        <v>-80</v>
      </c>
    </row>
    <row r="11" spans="1:11" x14ac:dyDescent="0.25">
      <c r="A11" s="7" t="s">
        <v>6</v>
      </c>
      <c r="B11" s="9" t="str" cm="1">
        <f t="array" aca="1" ref="B11" ca="1">RIGHT(CELL("filename",A1),LEN(CELL("filename",A1))-FIND("]",CELL("filename",A1)))</f>
        <v>1</v>
      </c>
      <c r="C11" s="8" t="str" cm="1">
        <f t="array" aca="1" ref="C11" ca="1">RIGHT(CELL("filename",A1),LEN(CELL("filename",A1))-FIND("]",CELL("filename",A1)))</f>
        <v>1</v>
      </c>
      <c r="J11" t="s">
        <v>38</v>
      </c>
      <c r="K11" s="4">
        <f ca="1">SUBTOTAL(109,expenses_1[Total])</f>
        <v>-4810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>
        <f ca="1">SUMIFS(operations[Amount],operations[Month],$B$11,operations[Type],balance_2[[#This Row],[Type]])</f>
        <v>-4810</v>
      </c>
    </row>
    <row r="15" spans="1:11" x14ac:dyDescent="0.25">
      <c r="A15" t="s">
        <v>33</v>
      </c>
      <c r="B15" s="4">
        <f ca="1">SUMIFS(operations[Amount],operations[Month],$B$11,operations[Type],balance_2[[#This Row],[Type]])</f>
        <v>5655.5</v>
      </c>
    </row>
    <row r="16" spans="1:11" x14ac:dyDescent="0.25">
      <c r="A16" t="s">
        <v>34</v>
      </c>
      <c r="B16" s="4">
        <f ca="1">SUMIFS(operations[Amount],operations[Month],$B$11,operations[Type],balance_2[[#This Row],[Type]])</f>
        <v>0</v>
      </c>
    </row>
    <row r="17" spans="1:2" x14ac:dyDescent="0.25">
      <c r="A17" t="s">
        <v>38</v>
      </c>
      <c r="B17" s="4">
        <f ca="1">SUBTOTAL(109,balance_2[Total])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Operations</vt:lpstr>
      <vt:lpstr>Dicionary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en-A301-16</cp:lastModifiedBy>
  <dcterms:created xsi:type="dcterms:W3CDTF">2024-12-14T15:11:08Z</dcterms:created>
  <dcterms:modified xsi:type="dcterms:W3CDTF">2025-12-05T13:41:15Z</dcterms:modified>
</cp:coreProperties>
</file>